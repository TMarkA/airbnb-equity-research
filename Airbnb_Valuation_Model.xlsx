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Tereshchenko\Downloads\airbnb excel\airbnb-valuation\"/>
    </mc:Choice>
  </mc:AlternateContent>
  <xr:revisionPtr revIDLastSave="0" documentId="8_{13E9B411-463F-48F1-A84D-06EE71C463C4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Cover" sheetId="1" r:id="rId1"/>
    <sheet name="Inputs" sheetId="2" r:id="rId2"/>
    <sheet name="Historicals" sheetId="3" r:id="rId3"/>
    <sheet name="WACC" sheetId="4" r:id="rId4"/>
    <sheet name="DCF" sheetId="5" r:id="rId5"/>
    <sheet name="Comps" sheetId="6" r:id="rId6"/>
    <sheet name="Football Field" sheetId="7" r:id="rId7"/>
    <sheet name="Charts" sheetId="8" r:id="rId8"/>
    <sheet name="Sources" sheetId="9" r:id="rId9"/>
  </sheets>
  <calcPr calcId="181029" iterateDelta="1E-4"/>
</workbook>
</file>

<file path=xl/calcChain.xml><?xml version="1.0" encoding="utf-8"?>
<calcChain xmlns="http://schemas.openxmlformats.org/spreadsheetml/2006/main">
  <c r="B14" i="7" l="1"/>
  <c r="F12" i="7"/>
  <c r="D12" i="7"/>
  <c r="C12" i="7"/>
  <c r="B12" i="7"/>
  <c r="F11" i="7"/>
  <c r="D11" i="7"/>
  <c r="C11" i="7"/>
  <c r="B11" i="7"/>
  <c r="F10" i="7"/>
  <c r="D10" i="7"/>
  <c r="C10" i="7"/>
  <c r="B10" i="7"/>
  <c r="F9" i="7"/>
  <c r="D9" i="7"/>
  <c r="C9" i="7"/>
  <c r="B9" i="7"/>
  <c r="F8" i="7"/>
  <c r="D8" i="7"/>
  <c r="C8" i="7"/>
  <c r="B8" i="7"/>
  <c r="F7" i="7"/>
  <c r="D7" i="7"/>
  <c r="C7" i="7"/>
  <c r="B7" i="7"/>
  <c r="F6" i="7"/>
  <c r="C6" i="7"/>
  <c r="B6" i="7"/>
  <c r="F5" i="7"/>
  <c r="C5" i="7"/>
  <c r="D5" i="7" s="1"/>
  <c r="B5" i="7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H26" i="6"/>
  <c r="G26" i="6"/>
  <c r="F26" i="6"/>
  <c r="E26" i="6"/>
  <c r="D26" i="6"/>
  <c r="C26" i="6"/>
  <c r="B26" i="6"/>
  <c r="H25" i="6"/>
  <c r="G25" i="6"/>
  <c r="F25" i="6"/>
  <c r="E25" i="6"/>
  <c r="D25" i="6"/>
  <c r="C25" i="6"/>
  <c r="B25" i="6"/>
  <c r="H24" i="6"/>
  <c r="G24" i="6"/>
  <c r="F24" i="6"/>
  <c r="E24" i="6"/>
  <c r="D24" i="6"/>
  <c r="C24" i="6"/>
  <c r="B24" i="6"/>
  <c r="H23" i="6"/>
  <c r="G23" i="6"/>
  <c r="F23" i="6"/>
  <c r="E23" i="6"/>
  <c r="D23" i="6"/>
  <c r="C23" i="6"/>
  <c r="B23" i="6"/>
  <c r="H22" i="6"/>
  <c r="G22" i="6"/>
  <c r="F22" i="6"/>
  <c r="E22" i="6"/>
  <c r="D22" i="6"/>
  <c r="C22" i="6"/>
  <c r="B22" i="6"/>
  <c r="H21" i="6"/>
  <c r="G21" i="6"/>
  <c r="F21" i="6"/>
  <c r="E21" i="6"/>
  <c r="D21" i="6"/>
  <c r="C21" i="6"/>
  <c r="B21" i="6"/>
  <c r="H20" i="6"/>
  <c r="G20" i="6"/>
  <c r="F20" i="6"/>
  <c r="E20" i="6"/>
  <c r="D20" i="6"/>
  <c r="C20" i="6"/>
  <c r="B20" i="6"/>
  <c r="X11" i="6"/>
  <c r="W11" i="6"/>
  <c r="V11" i="6"/>
  <c r="U11" i="6"/>
  <c r="T11" i="6"/>
  <c r="S11" i="6"/>
  <c r="R11" i="6"/>
  <c r="I11" i="6"/>
  <c r="H11" i="6"/>
  <c r="G11" i="6"/>
  <c r="F11" i="6"/>
  <c r="E11" i="6"/>
  <c r="D11" i="6"/>
  <c r="X10" i="6"/>
  <c r="W10" i="6"/>
  <c r="V10" i="6"/>
  <c r="U10" i="6"/>
  <c r="T10" i="6"/>
  <c r="S10" i="6"/>
  <c r="R10" i="6"/>
  <c r="I10" i="6"/>
  <c r="G10" i="6"/>
  <c r="X9" i="6"/>
  <c r="W9" i="6"/>
  <c r="V9" i="6"/>
  <c r="U9" i="6"/>
  <c r="T9" i="6"/>
  <c r="S9" i="6"/>
  <c r="R9" i="6"/>
  <c r="I9" i="6"/>
  <c r="G9" i="6"/>
  <c r="X8" i="6"/>
  <c r="W8" i="6"/>
  <c r="V8" i="6"/>
  <c r="U8" i="6"/>
  <c r="T8" i="6"/>
  <c r="S8" i="6"/>
  <c r="R8" i="6"/>
  <c r="I8" i="6"/>
  <c r="G8" i="6"/>
  <c r="X7" i="6"/>
  <c r="W7" i="6"/>
  <c r="V7" i="6"/>
  <c r="U7" i="6"/>
  <c r="T7" i="6"/>
  <c r="S7" i="6"/>
  <c r="R7" i="6"/>
  <c r="I7" i="6"/>
  <c r="G7" i="6"/>
  <c r="X6" i="6"/>
  <c r="W6" i="6"/>
  <c r="V6" i="6"/>
  <c r="U6" i="6"/>
  <c r="T6" i="6"/>
  <c r="S6" i="6"/>
  <c r="R6" i="6"/>
  <c r="I6" i="6"/>
  <c r="G6" i="6"/>
  <c r="C72" i="5"/>
  <c r="C71" i="5"/>
  <c r="C70" i="5"/>
  <c r="C69" i="5"/>
  <c r="C68" i="5"/>
  <c r="C52" i="5"/>
  <c r="C51" i="5"/>
  <c r="C43" i="5"/>
  <c r="C39" i="5"/>
  <c r="C29" i="5"/>
  <c r="H31" i="5" s="1"/>
  <c r="C26" i="5"/>
  <c r="B26" i="5"/>
  <c r="C25" i="5"/>
  <c r="B25" i="5"/>
  <c r="H24" i="5"/>
  <c r="H25" i="5" s="1"/>
  <c r="H26" i="5" s="1"/>
  <c r="G24" i="5"/>
  <c r="G25" i="5" s="1"/>
  <c r="G26" i="5" s="1"/>
  <c r="F24" i="5"/>
  <c r="F25" i="5" s="1"/>
  <c r="E24" i="5"/>
  <c r="E25" i="5" s="1"/>
  <c r="D24" i="5"/>
  <c r="D25" i="5" s="1"/>
  <c r="D26" i="5" s="1"/>
  <c r="H23" i="5"/>
  <c r="G23" i="5"/>
  <c r="F23" i="5"/>
  <c r="E23" i="5"/>
  <c r="D23" i="5"/>
  <c r="H22" i="5"/>
  <c r="G22" i="5"/>
  <c r="F22" i="5"/>
  <c r="E22" i="5"/>
  <c r="D22" i="5"/>
  <c r="C22" i="5"/>
  <c r="B22" i="5"/>
  <c r="H21" i="5"/>
  <c r="G21" i="5"/>
  <c r="F21" i="5"/>
  <c r="E21" i="5"/>
  <c r="D21" i="5"/>
  <c r="H20" i="5"/>
  <c r="G20" i="5"/>
  <c r="F20" i="5"/>
  <c r="E20" i="5"/>
  <c r="D20" i="5"/>
  <c r="H19" i="5"/>
  <c r="G19" i="5"/>
  <c r="F19" i="5"/>
  <c r="E19" i="5"/>
  <c r="D19" i="5"/>
  <c r="H18" i="5"/>
  <c r="G18" i="5"/>
  <c r="F18" i="5"/>
  <c r="E18" i="5"/>
  <c r="D18" i="5"/>
  <c r="C18" i="5"/>
  <c r="B18" i="5"/>
  <c r="H17" i="5"/>
  <c r="G17" i="5"/>
  <c r="F17" i="5"/>
  <c r="E17" i="5"/>
  <c r="D17" i="5"/>
  <c r="C17" i="5"/>
  <c r="B17" i="5"/>
  <c r="H16" i="5"/>
  <c r="G16" i="5"/>
  <c r="F16" i="5"/>
  <c r="E16" i="5"/>
  <c r="D16" i="5"/>
  <c r="C16" i="5"/>
  <c r="B16" i="5"/>
  <c r="I15" i="5"/>
  <c r="I17" i="5" s="1"/>
  <c r="H15" i="5"/>
  <c r="G15" i="5"/>
  <c r="F15" i="5"/>
  <c r="E15" i="5"/>
  <c r="D15" i="5"/>
  <c r="C15" i="5"/>
  <c r="B15" i="5"/>
  <c r="C11" i="5"/>
  <c r="B11" i="5"/>
  <c r="C7" i="5"/>
  <c r="B7" i="5"/>
  <c r="C6" i="5"/>
  <c r="B6" i="5"/>
  <c r="B15" i="4"/>
  <c r="B14" i="4"/>
  <c r="B13" i="4"/>
  <c r="B12" i="4"/>
  <c r="B11" i="4"/>
  <c r="B10" i="4"/>
  <c r="B9" i="4"/>
  <c r="B8" i="4"/>
  <c r="B7" i="4"/>
  <c r="B6" i="4"/>
  <c r="B5" i="4"/>
  <c r="B4" i="4"/>
  <c r="F64" i="3"/>
  <c r="B64" i="3"/>
  <c r="G57" i="3"/>
  <c r="F57" i="3"/>
  <c r="E57" i="3"/>
  <c r="D57" i="3"/>
  <c r="C57" i="3"/>
  <c r="B57" i="3"/>
  <c r="G48" i="3"/>
  <c r="F48" i="3"/>
  <c r="E48" i="3"/>
  <c r="D48" i="3"/>
  <c r="C48" i="3"/>
  <c r="B48" i="3"/>
  <c r="G47" i="3"/>
  <c r="F47" i="3"/>
  <c r="E47" i="3"/>
  <c r="D47" i="3"/>
  <c r="C47" i="3"/>
  <c r="G46" i="3"/>
  <c r="F46" i="3"/>
  <c r="E46" i="3"/>
  <c r="D46" i="3"/>
  <c r="C46" i="3"/>
  <c r="B46" i="3"/>
  <c r="G45" i="3"/>
  <c r="F45" i="3"/>
  <c r="E45" i="3"/>
  <c r="D45" i="3"/>
  <c r="C45" i="3"/>
  <c r="B45" i="3"/>
  <c r="G44" i="3"/>
  <c r="F44" i="3"/>
  <c r="E44" i="3"/>
  <c r="D44" i="3"/>
  <c r="C44" i="3"/>
  <c r="B44" i="3"/>
  <c r="G43" i="3"/>
  <c r="F43" i="3"/>
  <c r="E43" i="3"/>
  <c r="D43" i="3"/>
  <c r="C43" i="3"/>
  <c r="B43" i="3"/>
  <c r="G42" i="3"/>
  <c r="F42" i="3"/>
  <c r="E42" i="3"/>
  <c r="D42" i="3"/>
  <c r="C42" i="3"/>
  <c r="B42" i="3"/>
  <c r="G41" i="3"/>
  <c r="F41" i="3"/>
  <c r="E41" i="3"/>
  <c r="D41" i="3"/>
  <c r="C41" i="3"/>
  <c r="B41" i="3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1" i="3"/>
  <c r="F31" i="3"/>
  <c r="E31" i="3"/>
  <c r="D31" i="3"/>
  <c r="C31" i="3"/>
  <c r="B31" i="3"/>
  <c r="G23" i="3"/>
  <c r="F23" i="3"/>
  <c r="E23" i="3"/>
  <c r="D23" i="3"/>
  <c r="C23" i="3"/>
  <c r="B23" i="3"/>
  <c r="G18" i="3"/>
  <c r="F18" i="3"/>
  <c r="E18" i="3"/>
  <c r="D18" i="3"/>
  <c r="C18" i="3"/>
  <c r="B18" i="3"/>
  <c r="G16" i="3"/>
  <c r="F16" i="3"/>
  <c r="E16" i="3"/>
  <c r="D16" i="3"/>
  <c r="C16" i="3"/>
  <c r="B16" i="3"/>
  <c r="G13" i="3"/>
  <c r="F13" i="3"/>
  <c r="E13" i="3"/>
  <c r="D13" i="3"/>
  <c r="C13" i="3"/>
  <c r="B13" i="3"/>
  <c r="B29" i="2"/>
  <c r="B16" i="2"/>
  <c r="C14" i="1"/>
  <c r="C13" i="1"/>
  <c r="C12" i="1"/>
  <c r="C9" i="1"/>
  <c r="C8" i="1"/>
  <c r="D39" i="8"/>
  <c r="C39" i="8"/>
  <c r="D38" i="8"/>
  <c r="C38" i="8"/>
  <c r="D37" i="8"/>
  <c r="C37" i="8"/>
  <c r="D36" i="8"/>
  <c r="C36" i="8"/>
  <c r="D35" i="8"/>
  <c r="C35" i="8"/>
  <c r="B34" i="8"/>
  <c r="B33" i="8"/>
  <c r="B32" i="8"/>
  <c r="B31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18" i="8"/>
  <c r="B18" i="8"/>
  <c r="A18" i="8"/>
  <c r="C17" i="8"/>
  <c r="B17" i="8"/>
  <c r="A17" i="8"/>
  <c r="C16" i="8"/>
  <c r="B16" i="8"/>
  <c r="A16" i="8"/>
  <c r="C15" i="8"/>
  <c r="B15" i="8"/>
  <c r="A15" i="8"/>
  <c r="C14" i="8"/>
  <c r="B14" i="8"/>
  <c r="A14" i="8"/>
  <c r="C13" i="8"/>
  <c r="B13" i="8"/>
  <c r="A13" i="8"/>
  <c r="E8" i="8"/>
  <c r="D8" i="8"/>
  <c r="C8" i="8"/>
  <c r="B8" i="8"/>
  <c r="E7" i="8"/>
  <c r="D7" i="8"/>
  <c r="C7" i="8"/>
  <c r="B7" i="8"/>
  <c r="E6" i="8"/>
  <c r="D6" i="8"/>
  <c r="C6" i="8"/>
  <c r="B6" i="8"/>
  <c r="I21" i="5" l="1"/>
  <c r="I23" i="5"/>
  <c r="D6" i="7"/>
  <c r="I24" i="5"/>
  <c r="I22" i="5"/>
  <c r="D31" i="5"/>
  <c r="D32" i="5" s="1"/>
  <c r="E31" i="5"/>
  <c r="F31" i="5"/>
  <c r="G31" i="5"/>
  <c r="I16" i="5"/>
  <c r="E26" i="5"/>
  <c r="E32" i="5"/>
  <c r="F32" i="5"/>
  <c r="F26" i="5"/>
  <c r="G32" i="5"/>
  <c r="H32" i="5"/>
  <c r="I19" i="5"/>
  <c r="I20" i="5" s="1"/>
  <c r="I18" i="5"/>
  <c r="I25" i="5" l="1"/>
  <c r="C35" i="5"/>
  <c r="I26" i="5"/>
  <c r="C36" i="5"/>
  <c r="C50" i="5" l="1"/>
  <c r="C37" i="5"/>
  <c r="C38" i="5" l="1"/>
  <c r="C49" i="5" l="1"/>
  <c r="C40" i="5"/>
  <c r="C41" i="5" s="1"/>
  <c r="C42" i="5" s="1"/>
  <c r="C48" i="5"/>
  <c r="C44" i="5" l="1"/>
  <c r="C75" i="5"/>
  <c r="C7" i="1"/>
  <c r="B15" i="7"/>
  <c r="G5" i="7" s="1"/>
  <c r="C67" i="5"/>
  <c r="C45" i="5" l="1"/>
  <c r="C11" i="1" s="1"/>
  <c r="C10" i="1"/>
</calcChain>
</file>

<file path=xl/sharedStrings.xml><?xml version="1.0" encoding="utf-8"?>
<sst xmlns="http://schemas.openxmlformats.org/spreadsheetml/2006/main" count="510" uniqueCount="418">
  <si>
    <t>Airbnb, Inc.</t>
  </si>
  <si>
    <t>DCF valuation and trading comparables</t>
  </si>
  <si>
    <t>Nasdaq: ABNB  |  USD</t>
  </si>
  <si>
    <t>Result</t>
  </si>
  <si>
    <t>DCF value per share (USD)</t>
  </si>
  <si>
    <t>Share price (USD)</t>
  </si>
  <si>
    <t>Analysis date</t>
  </si>
  <si>
    <t>Upside / (downside)</t>
  </si>
  <si>
    <t>Rating</t>
  </si>
  <si>
    <t>WACC</t>
  </si>
  <si>
    <t>Terminal growth</t>
  </si>
  <si>
    <t>Value with SBC ignored (USD)</t>
  </si>
  <si>
    <t>same forecast, but SBC added back to FCF</t>
  </si>
  <si>
    <t>- Great business: asset-light, bookings growing ~10% a year, a stable take rate and FCF close to 40% of revenue.</t>
  </si>
  <si>
    <t>- The problem is SBC: ~USD 1.6bn a year, about a third of FCF. If I count it as a real cost, the shares are worth clearly less than the price. If I ignore it, the DCF lands almost exactly on the price.</t>
  </si>
  <si>
    <t>- My forecast is close to consensus, so the gap to the analysts' average target (USD 184) comes from two things: SBC treated as a cost and a higher cost of capital (10y Treasury above 5%).</t>
  </si>
  <si>
    <t>- What would change my mind: services, experiences or hotels showing up in revenue, or SBC dropping well below 10% of revenue.</t>
  </si>
  <si>
    <t>Sheets</t>
  </si>
  <si>
    <t>Inputs</t>
  </si>
  <si>
    <t>Market data, balance sheet, cost of capital inputs</t>
  </si>
  <si>
    <t>Historicals</t>
  </si>
  <si>
    <t>FY2022-2025 and H1 2025/26: P&amp;L, cash flow, operating metrics, ratios</t>
  </si>
  <si>
    <t>Cost of equity, cost of debt, WACC</t>
  </si>
  <si>
    <t>DCF</t>
  </si>
  <si>
    <t>Assumptions, free cash flow 2026-2030, terminal value, sensitivity tables</t>
  </si>
  <si>
    <t>Comps</t>
  </si>
  <si>
    <t>Online travel agencies and hotel franchisors</t>
  </si>
  <si>
    <t>Football Field</t>
  </si>
  <si>
    <t>All valuation methods in one chart</t>
  </si>
  <si>
    <t>Charts</t>
  </si>
  <si>
    <t>Four charts behind the SELL call</t>
  </si>
  <si>
    <t>Sources</t>
  </si>
  <si>
    <t>Links to all documents used</t>
  </si>
  <si>
    <t>Colour code</t>
  </si>
  <si>
    <t>Blue text</t>
  </si>
  <si>
    <t>Input (from a source or my own assumption)</t>
  </si>
  <si>
    <t>Black text</t>
  </si>
  <si>
    <t>Formula</t>
  </si>
  <si>
    <t>Green text</t>
  </si>
  <si>
    <t>Link to another sheet</t>
  </si>
  <si>
    <t>Yellow fill</t>
  </si>
  <si>
    <t>Key assumption</t>
  </si>
  <si>
    <t>Personal learning project. Not investment advice.</t>
  </si>
  <si>
    <t>Blue = hard-coded input, black = formula, green = link to another sheet. USD million unless stated.</t>
  </si>
  <si>
    <t>Item</t>
  </si>
  <si>
    <t>Value</t>
  </si>
  <si>
    <t>Unit</t>
  </si>
  <si>
    <t>Source / comment</t>
  </si>
  <si>
    <t>Market data</t>
  </si>
  <si>
    <t>Share price</t>
  </si>
  <si>
    <t>USD</t>
  </si>
  <si>
    <t>Nasdaq close 02.10.2026 (MarketScreener)</t>
  </si>
  <si>
    <t>Shares outstanding (Class A + B + H)</t>
  </si>
  <si>
    <t>m</t>
  </si>
  <si>
    <t>10-Q Q2 2026 cover page, as of 15.07.2026. Only for market cap</t>
  </si>
  <si>
    <t>Diluted shares, FY2025 average</t>
  </si>
  <si>
    <t>Q4 2025 shareholder letter. Diluted count in the DCF, so unvested RSUs are included</t>
  </si>
  <si>
    <t>Balance sheet at 31.12.2025 (valuation date)</t>
  </si>
  <si>
    <t>Valuation date</t>
  </si>
  <si>
    <t>Last full-year balance sheet</t>
  </si>
  <si>
    <t>Cash and cash equivalents</t>
  </si>
  <si>
    <t>USDm</t>
  </si>
  <si>
    <t>Q4 2025 shareholder letter, balance sheet</t>
  </si>
  <si>
    <t>Short-term investments</t>
  </si>
  <si>
    <t>Same as above</t>
  </si>
  <si>
    <t>Debt (0% convertible notes due March 2026)</t>
  </si>
  <si>
    <t>Same as above. Repaid at par in March 2026 (refinanced with senior notes), so I treat it as debt</t>
  </si>
  <si>
    <t>Net cash</t>
  </si>
  <si>
    <t>Excl. customer funds (see below)</t>
  </si>
  <si>
    <t>Memo: funds held on behalf of customers</t>
  </si>
  <si>
    <t>Guest money held until check-in. The same amount sits on the liability side, so it's not Airbnb's cash</t>
  </si>
  <si>
    <t>Cost of capital</t>
  </si>
  <si>
    <t>Risk-free rate (10y US Treasury)</t>
  </si>
  <si>
    <t>%</t>
  </si>
  <si>
    <t>ycharts, 10-year Treasury rate, 02.10.2026</t>
  </si>
  <si>
    <t>Equity risk premium</t>
  </si>
  <si>
    <t>Damodaran implied ERP for the S&amp;P 500, start of August 2026</t>
  </si>
  <si>
    <t>Raw beta (5y monthly)</t>
  </si>
  <si>
    <t>Yahoo Finance, October 2026</t>
  </si>
  <si>
    <t>Pre-tax cost of debt</t>
  </si>
  <si>
    <t>Weighted coupon of the USD 2.5bn senior notes issued March 2026 (4.40% / 4.65% / 5.25%)</t>
  </si>
  <si>
    <t>Debt for capital weights</t>
  </si>
  <si>
    <t>Form 10-Q Q2 2026: long-term debt, net, 30.06.2026</t>
  </si>
  <si>
    <t>Tax rate</t>
  </si>
  <si>
    <t>Effective rate 2025: 20.0% (626 / 3,137). Rounded to the US federal rate</t>
  </si>
  <si>
    <t>Other</t>
  </si>
  <si>
    <t>Rating threshold (BUY above +15%, SELL below -15%)</t>
  </si>
  <si>
    <t>My own rule: HOLD if value is within 15% of the price</t>
  </si>
  <si>
    <t>Years from valuation date to analysis date</t>
  </si>
  <si>
    <t>years</t>
  </si>
  <si>
    <t>Analyst price targets: low</t>
  </si>
  <si>
    <t>MarketScreener consensus (43 analysts, average USD 183.56), October 2026</t>
  </si>
  <si>
    <t>Analyst price targets: high</t>
  </si>
  <si>
    <t>52-week low</t>
  </si>
  <si>
    <t>Yahoo Finance and bullfincher.io, October 2026</t>
  </si>
  <si>
    <t>52-week high</t>
  </si>
  <si>
    <t>Historical figures</t>
  </si>
  <si>
    <t>USD million unless stated. Fiscal year = calendar year. H1 = January to June. n.m. = not meaningful.</t>
  </si>
  <si>
    <t>USD m</t>
  </si>
  <si>
    <t>FY2022</t>
  </si>
  <si>
    <t>FY2023</t>
  </si>
  <si>
    <t>FY2024</t>
  </si>
  <si>
    <t>FY2025</t>
  </si>
  <si>
    <t>H1 2025</t>
  </si>
  <si>
    <t>H1 2026</t>
  </si>
  <si>
    <t>Source</t>
  </si>
  <si>
    <t>Income statement</t>
  </si>
  <si>
    <t>Revenue</t>
  </si>
  <si>
    <t>Q4 2023 shareholder letter (2022-23); Q4 2025 shareholder letter (2024-25); Q2 2026 shareholder letter (H1)</t>
  </si>
  <si>
    <t>Cost of revenue</t>
  </si>
  <si>
    <t>Operations and support</t>
  </si>
  <si>
    <t>Product development</t>
  </si>
  <si>
    <t>Sales and marketing</t>
  </si>
  <si>
    <t>General and administrative</t>
  </si>
  <si>
    <t>2023 includes about USD 935m of one-off lodging-tax and withholding reserves</t>
  </si>
  <si>
    <t>Restructuring</t>
  </si>
  <si>
    <t>Income from operations (EBIT)</t>
  </si>
  <si>
    <t>Calc.; ties to reported EBIT 1,802 / 1,518 / 2,553 / 2,544 / 650 / 844</t>
  </si>
  <si>
    <t>Interest income</t>
  </si>
  <si>
    <t>Interest expense and other income (expense), net</t>
  </si>
  <si>
    <t>One line in 2024-25. For 2022-23 and H1 I added interest expense and other income together</t>
  </si>
  <si>
    <t>Income before taxes</t>
  </si>
  <si>
    <t>Calc.; ties to reported pre-tax income 1,989 / 2,102 / 3,331 / 3,137 / 952 / 1,178</t>
  </si>
  <si>
    <t>Income taxes (benefit)</t>
  </si>
  <si>
    <t>2023: benefit from releasing the valuation allowance on deferred tax assets</t>
  </si>
  <si>
    <t>Net income</t>
  </si>
  <si>
    <t>Calc.; ties to reported net income 1,893 / 4,792 / 2,648 / 2,511 / 796 / 976</t>
  </si>
  <si>
    <t>Cash flow and shares</t>
  </si>
  <si>
    <t>Operating cash flow</t>
  </si>
  <si>
    <t>Free cash flow</t>
  </si>
  <si>
    <t>FY reported; H1 = Q1 + Q2</t>
  </si>
  <si>
    <t>Capex (operating cash flow - free cash flow)</t>
  </si>
  <si>
    <t>Calculated</t>
  </si>
  <si>
    <t>Stock-based compensation</t>
  </si>
  <si>
    <t>FY reported; H1 = Q1 + Q2 from the adj. EBITDA reconciliation</t>
  </si>
  <si>
    <t>Share repurchases</t>
  </si>
  <si>
    <t>Diluted shares, weighted average (m)</t>
  </si>
  <si>
    <t>Q4 2023 shareholder letter (2022-23); Q4 2025 shareholder letter (2024-25); Form 10-Q Q2 2026 (H1)</t>
  </si>
  <si>
    <t>Operating metrics</t>
  </si>
  <si>
    <t>Nights and seats booked (m)</t>
  </si>
  <si>
    <t>Gross booking value (USD bn)</t>
  </si>
  <si>
    <t>Average daily rate (USD, GBV / nights)</t>
  </si>
  <si>
    <t>Ratios</t>
  </si>
  <si>
    <t>Revenue growth</t>
  </si>
  <si>
    <t>FY2022 and H1 2025 growth: base periods at the bottom of the sheet</t>
  </si>
  <si>
    <t>Nights growth</t>
  </si>
  <si>
    <t>ADR growth</t>
  </si>
  <si>
    <t>Take rate (revenue / GBV)</t>
  </si>
  <si>
    <t>n.m.</t>
  </si>
  <si>
    <t>n.m. for H1: GBV counts at booking, revenue only at check-in</t>
  </si>
  <si>
    <t>Gross margin</t>
  </si>
  <si>
    <t>Sales and marketing in % of revenue</t>
  </si>
  <si>
    <t>Product development in % of revenue</t>
  </si>
  <si>
    <t>EBIT margin, reported</t>
  </si>
  <si>
    <t>EBIT margin excl. 2023 one-off reserves</t>
  </si>
  <si>
    <t>Adds back the USD 935m of one-off reserves in 2023 G&amp;A</t>
  </si>
  <si>
    <t>SBC in % of revenue</t>
  </si>
  <si>
    <t>FCF margin</t>
  </si>
  <si>
    <t>FCF after SBC, margin</t>
  </si>
  <si>
    <t>Share repurchases / SBC</t>
  </si>
  <si>
    <t>Change in diluted shares</t>
  </si>
  <si>
    <t>n.m. for FY2022: 2021 was a loss year right after the IPO (diluted = basic)</t>
  </si>
  <si>
    <t>Interest and other in % of pre-tax income</t>
  </si>
  <si>
    <t>Mostly interest on the cash pile, not core business</t>
  </si>
  <si>
    <t>Balance sheet (FY = 31 December, H1 = 30 June)</t>
  </si>
  <si>
    <t>Q4 2023 letter (2022-23); Q4 2025 letter (2024-25); Q2 2025 and Q2 2026 letters (30 June)</t>
  </si>
  <si>
    <t>Funds held on behalf of customers</t>
  </si>
  <si>
    <t>Peaks in June (summer trips paid in advance). Offset by a liability of the same size</t>
  </si>
  <si>
    <t>Unearned fees</t>
  </si>
  <si>
    <t>Also seasonal: fees for trips booked but not yet taken</t>
  </si>
  <si>
    <t>Debt</t>
  </si>
  <si>
    <t>2022-25: USD 2.0bn 0% convertible notes, repaid March 2026. June 2026: USD 2.5bn senior notes</t>
  </si>
  <si>
    <t>Total stockholders' equity</t>
  </si>
  <si>
    <t>Net cash (cash + investments - debt)</t>
  </si>
  <si>
    <t>Base periods for growth rates (memo)</t>
  </si>
  <si>
    <t>Period</t>
  </si>
  <si>
    <t>FY2021</t>
  </si>
  <si>
    <t>H1 2024</t>
  </si>
  <si>
    <t>Q4 2022 shareholder letter (FY2021); Q2 2025 shareholder letter (H1 2024)</t>
  </si>
  <si>
    <t>Nights and experiences booked (m)</t>
  </si>
  <si>
    <t>Average daily rate (USD)</t>
  </si>
  <si>
    <t>Same as above. FY2021 only for reference (loss year, diluted = basic)</t>
  </si>
  <si>
    <t>My takeaway: growth comes from more nights, not higher prices, and the take rate barely moves. FCF is ~38% of revenue, but a third of it is SBC. Buybacks are more than 2x SBC, so the share count still falls ~3% a year.</t>
  </si>
  <si>
    <t>Cost of capital (WACC)</t>
  </si>
  <si>
    <t>Component</t>
  </si>
  <si>
    <t>Comment</t>
  </si>
  <si>
    <t>Risk-free rate</t>
  </si>
  <si>
    <t>Raw beta</t>
  </si>
  <si>
    <t>Adjusted beta</t>
  </si>
  <si>
    <t>Blume adjustment: 0.67 x raw beta + 0.33 x 1</t>
  </si>
  <si>
    <t>Cost of equity</t>
  </si>
  <si>
    <t>CAPM</t>
  </si>
  <si>
    <t>After-tax cost of debt</t>
  </si>
  <si>
    <t>Market value of equity (USDm)</t>
  </si>
  <si>
    <t>Share price x shares outstanding</t>
  </si>
  <si>
    <t>Debt (USDm)</t>
  </si>
  <si>
    <t>Weight of debt</t>
  </si>
  <si>
    <t>Very little debt, so WACC is almost the cost of equity</t>
  </si>
  <si>
    <t>WACC is high mainly because of the risk-free rate (10y Treasury above 5% in Oct 2026).</t>
  </si>
  <si>
    <t>DCF valuation (USD million)</t>
  </si>
  <si>
    <t>Valuation date 31.12.2025. Five-year forecast plus a normalised terminal year. EBIT is after stock-based compensation (GAAP).</t>
  </si>
  <si>
    <t>2024A</t>
  </si>
  <si>
    <t>2025A</t>
  </si>
  <si>
    <t>2026E</t>
  </si>
  <si>
    <t>2027E</t>
  </si>
  <si>
    <t>2028E</t>
  </si>
  <si>
    <t>2029E</t>
  </si>
  <si>
    <t>2030E</t>
  </si>
  <si>
    <t>Terminal</t>
  </si>
  <si>
    <t>Reasoning</t>
  </si>
  <si>
    <t>Assumptions</t>
  </si>
  <si>
    <t>2026: guidance "at least mid-teens" incl. ~3pt FX tailwind. 2027-28 close to consensus (+12% / +11%), then slowing as the core market matures. Terminal: nominal growth of travel.</t>
  </si>
  <si>
    <t>EBIT margin (after SBC)</t>
  </si>
  <si>
    <t>2025: 20.8%. 2026 guidance: adj. EBITDA margin at least 35.5%. I let margins rise because SBC should grow slower than revenue. Terminal 28%, still below Booking (33%).</t>
  </si>
  <si>
    <t>D&amp;A (% of revenue)</t>
  </si>
  <si>
    <t>2025: USD 91m, 0.7% of revenue</t>
  </si>
  <si>
    <t>Capex (% of revenue)</t>
  </si>
  <si>
    <t>2025: USD 33m, 0.3%. Asset-light, mostly software</t>
  </si>
  <si>
    <t>Working capital inflow (% of revenue increase)</t>
  </si>
  <si>
    <t>Guests pay at booking, before revenue is recognised. Unearned fees are ~14% of revenue and grow with it</t>
  </si>
  <si>
    <t>Memo: SBC (% of revenue)</t>
  </si>
  <si>
    <t>2025: 13.0%. Mgmt expects SBC to grow slower than revenue. Only needed for the SBC switch below</t>
  </si>
  <si>
    <t>SBC treated as a cost (100% = base case)</t>
  </si>
  <si>
    <t>Base case 100%: I treat SBC as a real cost, just paid in shares instead of cash. 0% = SBC added back, like the company's "adjusted" FCF</t>
  </si>
  <si>
    <t xml:space="preserve">  growth</t>
  </si>
  <si>
    <t>EBIT (after SBC)</t>
  </si>
  <si>
    <t xml:space="preserve">  margin</t>
  </si>
  <si>
    <t>Less: taxes on EBIT</t>
  </si>
  <si>
    <t>NOPAT</t>
  </si>
  <si>
    <t>Plus: D&amp;A</t>
  </si>
  <si>
    <t>Less: capex</t>
  </si>
  <si>
    <t>Plus: working capital inflow</t>
  </si>
  <si>
    <t>Plus: SBC add-back (only if switch &lt; 100%)</t>
  </si>
  <si>
    <t>Zero in the base case</t>
  </si>
  <si>
    <t>Unlevered free cash flow</t>
  </si>
  <si>
    <t>2024A/2025A = reported FCF (incl. SBC add-back and interest income), so not like-for-like</t>
  </si>
  <si>
    <t xml:space="preserve">  in % of revenue</t>
  </si>
  <si>
    <t>FCF after SBC on Historicals: 25% in 2025</t>
  </si>
  <si>
    <t>Discounting (mid-year convention)</t>
  </si>
  <si>
    <t>From the WACC sheet; the override in C64 is only used by the sensitivity table</t>
  </si>
  <si>
    <t>Discount period (years)</t>
  </si>
  <si>
    <t>Discount factor</t>
  </si>
  <si>
    <t>Present value of free cash flow</t>
  </si>
  <si>
    <t>Valuation</t>
  </si>
  <si>
    <t>Sum of PV of free cash flows 2026-2030</t>
  </si>
  <si>
    <t>Terminal value at end of 2030</t>
  </si>
  <si>
    <t>Terminal free cash flow / (WACC - g)</t>
  </si>
  <si>
    <t>PV of terminal value</t>
  </si>
  <si>
    <t>Discounted over 5 full years</t>
  </si>
  <si>
    <t>Enterprise value</t>
  </si>
  <si>
    <t>Plus: net cash</t>
  </si>
  <si>
    <t>31.12.2025; customer funds excluded</t>
  </si>
  <si>
    <t>Equity value</t>
  </si>
  <si>
    <t>Value per share at 31.12.2025 (USD)</t>
  </si>
  <si>
    <t>Diluted shares</t>
  </si>
  <si>
    <t>Value per share at analysis date (USD)</t>
  </si>
  <si>
    <t>Rolled forward at the cost of equity to 02.10.2026 (no dividend)</t>
  </si>
  <si>
    <t>Share price at analysis date (USD)</t>
  </si>
  <si>
    <t>Checks</t>
  </si>
  <si>
    <t>Terminal value in % of enterprise value</t>
  </si>
  <si>
    <t>Implied EV / EBIT 2026E</t>
  </si>
  <si>
    <t>Peers: 11.8x online travel, 23.5x hotel franchisors</t>
  </si>
  <si>
    <t>Implied exit multiple: EV / EBIT terminal year</t>
  </si>
  <si>
    <t>Revenue 2028E vs. consensus (USD 17,606m)</t>
  </si>
  <si>
    <t>EBIT 2028E vs. consensus (USD 4,503m)</t>
  </si>
  <si>
    <t>Forecast close to consensus, so the gap to the price comes from SBC and WACC</t>
  </si>
  <si>
    <t>Consensus inputs (MarketScreener, October 2026)</t>
  </si>
  <si>
    <t>Consensus revenue 2028E</t>
  </si>
  <si>
    <t>Consensus EBIT 2028E</t>
  </si>
  <si>
    <t>Sensitivity: value per share at analysis date (USD)</t>
  </si>
  <si>
    <t>Input cells used by the data tables</t>
  </si>
  <si>
    <t>WACC override for the sensitivity table (0 = WACC sheet)</t>
  </si>
  <si>
    <t>WACC (rows) vs. terminal growth (columns)</t>
  </si>
  <si>
    <t>Share of SBC treated as a cost (rows) vs. terminal EBIT margin (columns)</t>
  </si>
  <si>
    <t>Bottom row = SBC ignored (like "adjusted" FCF). That's roughly where the market prices Airbnb today.</t>
  </si>
  <si>
    <t>Trading comparables: online travel and hotel franchisors</t>
  </si>
  <si>
    <t>Estimates and prices from MarketScreener, prices within a week of the analysis date (02.10.2026). Millions in reporting currency.</t>
  </si>
  <si>
    <t>USD-CNY rate (Trip.com reports in CNY)</t>
  </si>
  <si>
    <t>FRED (DEXCHUS), 02.10.2026</t>
  </si>
  <si>
    <t>Company</t>
  </si>
  <si>
    <t>Group</t>
  </si>
  <si>
    <t>Ccy</t>
  </si>
  <si>
    <t>Price (USD)</t>
  </si>
  <si>
    <t>Price date</t>
  </si>
  <si>
    <t>Shares (m)</t>
  </si>
  <si>
    <t>Market cap</t>
  </si>
  <si>
    <t>Net debt FY25</t>
  </si>
  <si>
    <t>EV</t>
  </si>
  <si>
    <t>Sales 25A</t>
  </si>
  <si>
    <t>Sales 26E</t>
  </si>
  <si>
    <t>Sales 27E</t>
  </si>
  <si>
    <t>EBITDA 26E</t>
  </si>
  <si>
    <t>EBIT 26E</t>
  </si>
  <si>
    <t>EBIT 27E</t>
  </si>
  <si>
    <t>EPS 26E</t>
  </si>
  <si>
    <t>EPS 27E</t>
  </si>
  <si>
    <t>Sales growth 27E</t>
  </si>
  <si>
    <t>EBIT margin 26E</t>
  </si>
  <si>
    <t>EV/EBITDA 26E</t>
  </si>
  <si>
    <t>EV/EBIT 26E</t>
  </si>
  <si>
    <t>EV/EBIT 27E</t>
  </si>
  <si>
    <t>P/E 26E</t>
  </si>
  <si>
    <t>P/E 27E</t>
  </si>
  <si>
    <t>Booking Holdings</t>
  </si>
  <si>
    <t>Online travel</t>
  </si>
  <si>
    <t>Expedia Group</t>
  </si>
  <si>
    <t>Trip.com Group</t>
  </si>
  <si>
    <t>CNY</t>
  </si>
  <si>
    <t>Marriott International</t>
  </si>
  <si>
    <t>Hotel franchisor</t>
  </si>
  <si>
    <t>Hilton Worldwide</t>
  </si>
  <si>
    <t>Airbnb (consensus)</t>
  </si>
  <si>
    <t>Marketplace</t>
  </si>
  <si>
    <t>Airbnb's EBITDA is "adjusted", i.e. before USD 1.6bn of SBC, while the peers have much less SBC. So I rely on EV/EBIT and P/E, which include SBC for everyone.</t>
  </si>
  <si>
    <t>Trip.com: 2025 earnings include a one-off gain, so 2026E looks distorted. I keep it in but don't put much weight on its P/E.</t>
  </si>
  <si>
    <t>Net debt at FY2025 year-end for all companies. Airbnb's net cash shows as negative net debt.</t>
  </si>
  <si>
    <t>Peer share counts: MarketScreener 2026 figures (closest to today after buybacks). Airbnb: 10-Q cover page.</t>
  </si>
  <si>
    <t>Peer multiples summary</t>
  </si>
  <si>
    <t>Statistic</t>
  </si>
  <si>
    <t>Online travel: median</t>
  </si>
  <si>
    <t>Online travel: low</t>
  </si>
  <si>
    <t>Online travel: high</t>
  </si>
  <si>
    <t>Hotel franchisors: median</t>
  </si>
  <si>
    <t>Hotel franchisors: low</t>
  </si>
  <si>
    <t>Hotel franchisors: high</t>
  </si>
  <si>
    <t>Airbnb</t>
  </si>
  <si>
    <t>Airbnb trades at more than 2x the EV/EBIT of the online travel agencies and above the hotel franchisors, with faster growth (11.7% vs. ~9% and ~7% in 2027E).</t>
  </si>
  <si>
    <t>Implied value per Airbnb share (USD)</t>
  </si>
  <si>
    <t>Multiple</t>
  </si>
  <si>
    <t>Airbnb metric</t>
  </si>
  <si>
    <t>Low</t>
  </si>
  <si>
    <t>Median</t>
  </si>
  <si>
    <t>High</t>
  </si>
  <si>
    <t>Basis</t>
  </si>
  <si>
    <t>EV/EBIT 26E, online travel</t>
  </si>
  <si>
    <t>EBIT x multiple + net cash, per diluted share</t>
  </si>
  <si>
    <t>EV/EBIT 26E, hotel franchisors</t>
  </si>
  <si>
    <t>P/E 26E, online travel</t>
  </si>
  <si>
    <t>EPS x peer P/E</t>
  </si>
  <si>
    <t>P/E 26E, hotel franchisors</t>
  </si>
  <si>
    <t>Valuation summary (football field)</t>
  </si>
  <si>
    <t>USD per share at the analysis date (02.10.2026). Chart: each line goes from a method's low to its high value, red dashed line = share price. Columns F-G are helper columns for the chart.</t>
  </si>
  <si>
    <t>Method</t>
  </si>
  <si>
    <t>Range</t>
  </si>
  <si>
    <t>DCF: WACC / terminal growth</t>
  </si>
  <si>
    <t>WACC +/-0.5pp, growth 2.5-3.5%</t>
  </si>
  <si>
    <t>DCF: SBC treatment</t>
  </si>
  <si>
    <t>SBC 0-100% treated as cost, terminal margin 24-32%</t>
  </si>
  <si>
    <t>Peer low-high</t>
  </si>
  <si>
    <t>Analyst price targets</t>
  </si>
  <si>
    <t>MarketScreener consensus, 43 analysts</t>
  </si>
  <si>
    <t>52-week trading range</t>
  </si>
  <si>
    <t>Nasdaq, 52-week low and high</t>
  </si>
  <si>
    <t>Share price at analysis date</t>
  </si>
  <si>
    <t>DCF value (base case)</t>
  </si>
  <si>
    <t>Charts: why the rating is SELL</t>
  </si>
  <si>
    <t>All figures are linked to the model.</t>
  </si>
  <si>
    <t>1. Reported free cash flow = SBC + free cash flow after SBC (USD m)</t>
  </si>
  <si>
    <t>Free cash flow after SBC</t>
  </si>
  <si>
    <t>SBC in % of reported FCF</t>
  </si>
  <si>
    <t>2. EV / EBIT 2026E (EBIT after stock-based pay for everyone)</t>
  </si>
  <si>
    <t>3. DCF value by share of SBC counted as a cost (terminal margin 28%)</t>
  </si>
  <si>
    <t>SBC counted as cost</t>
  </si>
  <si>
    <t>DCF value (USD)</t>
  </si>
  <si>
    <t>4. Revenue growth: reported, my forecast, and what the share price needs</t>
  </si>
  <si>
    <t>Extra growth needed p.a. 2026-30</t>
  </si>
  <si>
    <t>Reported</t>
  </si>
  <si>
    <t>My forecast</t>
  </si>
  <si>
    <t>Needed for the price</t>
  </si>
  <si>
    <t>2023</t>
  </si>
  <si>
    <t>2024</t>
  </si>
  <si>
    <t>2025</t>
  </si>
  <si>
    <t>H1 2026 growth includes about 3 points of currency tailwind.</t>
  </si>
  <si>
    <t>Reverse DCF: this much extra growth in every year (DCF!D6:H6) gets the value to the share price.</t>
  </si>
  <si>
    <t>Document</t>
  </si>
  <si>
    <t>Link</t>
  </si>
  <si>
    <t>Airbnb Q2 2026 shareholder letter (Form 8-K, Ex. 99.1)</t>
  </si>
  <si>
    <t>https://www.sec.gov/Archives/edgar/data/0001559720/000119312526337928/d70413dex991.htm</t>
  </si>
  <si>
    <t>Airbnb Q4 2025 shareholder letter</t>
  </si>
  <si>
    <t>https://s26.q4cdn.com/656283129/files/doc_financials/2025/q4/Airbnb_Q4-2025-Shareholder-Letter-Final.pdf</t>
  </si>
  <si>
    <t>Airbnb Q4 2023 shareholder letter (Form 8-K, Ex. 99.1)</t>
  </si>
  <si>
    <t>https://www.sec.gov/Archives/edgar/data/1559720/000119312524033706/d646462dex991.htm</t>
  </si>
  <si>
    <t>Airbnb Form 10-K 2025</t>
  </si>
  <si>
    <t>https://www.sec.gov/Archives/edgar/data/1559720/000155972026000004/abnb-20251231.htm</t>
  </si>
  <si>
    <t>Airbnb Form 10-Q Q2 2026</t>
  </si>
  <si>
    <t>https://www.sec.gov/Archives/edgar/data/0001559720/000155972026000027/abnb-20260630.htm</t>
  </si>
  <si>
    <t>Airbnb Form 8-K: USD 2.5bn senior notes, March 2026</t>
  </si>
  <si>
    <t>https://www.sec.gov/Archives/edgar/data/1559720/000119312526108514/d106317d8k.htm</t>
  </si>
  <si>
    <t>Airbnb consensus estimates and share price (MarketScreener)</t>
  </si>
  <si>
    <t>https://www.marketscreener.com/quote/stock/AIRBNB-INC-116310849/finances/</t>
  </si>
  <si>
    <t>Airbnb analyst price targets (MarketScreener)</t>
  </si>
  <si>
    <t>https://www.marketscreener.com/quote/stock/AIRBNB-INC-121407285/consensus/</t>
  </si>
  <si>
    <t>Booking Holdings (MarketScreener)</t>
  </si>
  <si>
    <t>https://www.marketscreener.com/quote/stock/BOOKING-HOLDINGS-INC-41613106/finances/</t>
  </si>
  <si>
    <t>Expedia Group (MarketScreener)</t>
  </si>
  <si>
    <t>https://www.marketscreener.com/quote/stock/EXPEDIA-GROUP-INC-9605918/finances/</t>
  </si>
  <si>
    <t>Trip.com Group (MarketScreener)</t>
  </si>
  <si>
    <t>https://www.marketscreener.com/quote/stock/TRIP-COM-GROUP-LIMITED-40311225/finances/</t>
  </si>
  <si>
    <t>Marriott International (MarketScreener)</t>
  </si>
  <si>
    <t>https://www.marketscreener.com/quote/stock/MARRIOTT-INTERNATIONAL-IN-14633490/finances/</t>
  </si>
  <si>
    <t>Hilton Worldwide (MarketScreener)</t>
  </si>
  <si>
    <t>https://www.marketscreener.com/quote/stock/HILTON-WORLDWIDE-HOLDINGS-105519328/finances/</t>
  </si>
  <si>
    <t>USD-CNY exchange rate (FRED, DEXCHUS)</t>
  </si>
  <si>
    <t>https://fred.stlouisfed.org/series/DEXCHUS</t>
  </si>
  <si>
    <t>Airbnb Q4 2022 shareholder letter (FY2021 base year)</t>
  </si>
  <si>
    <t>https://www.sec.gov/Archives/edgar/data/1559720/000119312523039008/d451233dex991.htm</t>
  </si>
  <si>
    <t>Airbnb Q2 2025 shareholder letter (H1 2024, 30.06.2025 balance sheet)</t>
  </si>
  <si>
    <t>https://www.sec.gov/Archives/edgar/data/1559720/000119312525174438/d17531dex991.htm</t>
  </si>
  <si>
    <t>52-week range (bullfincher.io)</t>
  </si>
  <si>
    <t>https://bullfincher.io/companies/airbnb/stock-price-history</t>
  </si>
  <si>
    <t>10-year Treasury rate (ycharts)</t>
  </si>
  <si>
    <t>https://ycharts.com/indicators/10_year_treasury_rate</t>
  </si>
  <si>
    <t>Damodaran implied ERP, August 2026 (Stocktwits)</t>
  </si>
  <si>
    <t>https://stocktwits.com/news-articles/markets/equity/s-and-p-500-held-flat-last-month-despite-surging-10-y-treasury-yields-wall-street-s-dean-of-valuation-says-risk-math-hasn-t-changed/cZoT3EWRJ5z</t>
  </si>
  <si>
    <t>Airbnb beta (Yahoo Finance)</t>
  </si>
  <si>
    <t>https://finance.yahoo.com/quote/ABNB</t>
  </si>
  <si>
    <t>Comments</t>
  </si>
  <si>
    <t>DCF base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</si>
</sst>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;\(#,##0.00\);&quot;-&quot;"/>
    <numFmt numFmtId="165" formatCode="dd\.mm\.yyyy"/>
    <numFmt numFmtId="166" formatCode="#,##0.0"/>
    <numFmt numFmtId="167" formatCode="#,##0;\(#,##0\);&quot;-&quot;"/>
    <numFmt numFmtId="168" formatCode="0.0%;\(0.0%\);&quot;-&quot;"/>
    <numFmt numFmtId="169" formatCode="#,##0.0;\(#,##0.0\);&quot;-&quot;"/>
    <numFmt numFmtId="170" formatCode="0.0&quot;x&quot;"/>
    <numFmt numFmtId="171" formatCode="0.0"/>
    <numFmt numFmtId="172" formatCode="0.000"/>
    <numFmt numFmtId="173" formatCode="0.0&quot;x&quot;;\(0.0&quot;x&quot;\);&quot;-&quot;"/>
    <numFmt numFmtId="174" formatCode="0.0000"/>
  </numFmts>
  <fonts count="14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b/>
      <sz val="10"/>
      <color rgb="FF0000FF"/>
      <name val="Arial"/>
    </font>
    <font>
      <i/>
      <sz val="9"/>
      <color rgb="FFA6A6A6"/>
      <name val="Arial"/>
    </font>
    <font>
      <sz val="10"/>
      <color rgb="FF008000"/>
      <name val="Arial"/>
    </font>
    <font>
      <b/>
      <sz val="10"/>
      <color rgb="FF008000"/>
      <name val="Arial"/>
    </font>
    <font>
      <sz val="9"/>
      <color rgb="FF0563C1"/>
      <name val="Arial"/>
    </font>
    <font>
      <b/>
      <sz val="11"/>
      <color rgb="FF1F3864"/>
      <name val="Arial"/>
    </font>
    <font>
      <sz val="10"/>
      <color rgb="FF0563C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2" fillId="0" borderId="0" xfId="0" applyFont="1"/>
    <xf numFmtId="0" fontId="2" fillId="0" borderId="0" xfId="0" applyFont="1"/>
    <xf numFmtId="0" fontId="4" fillId="3" borderId="0" xfId="0" applyFont="1" applyFill="1"/>
    <xf numFmtId="0" fontId="0" fillId="3" borderId="0" xfId="0" applyFill="1"/>
    <xf numFmtId="0" fontId="4" fillId="0" borderId="0" xfId="0" applyFont="1"/>
    <xf numFmtId="164" fontId="10" fillId="5" borderId="0" xfId="0" applyNumberFormat="1" applyFont="1" applyFill="1" applyAlignment="1">
      <alignment horizontal="right"/>
    </xf>
    <xf numFmtId="0" fontId="5" fillId="0" borderId="0" xfId="0" applyFont="1"/>
    <xf numFmtId="164" fontId="9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168" fontId="9" fillId="0" borderId="0" xfId="0" applyNumberFormat="1" applyFont="1" applyAlignment="1">
      <alignment horizontal="right"/>
    </xf>
    <xf numFmtId="0" fontId="10" fillId="5" borderId="0" xfId="0" applyFont="1" applyFill="1" applyAlignment="1">
      <alignment horizontal="right"/>
    </xf>
    <xf numFmtId="0" fontId="13" fillId="0" borderId="0" xfId="0" applyFont="1"/>
    <xf numFmtId="0" fontId="6" fillId="0" borderId="0" xfId="0" applyFont="1"/>
    <xf numFmtId="0" fontId="9" fillId="0" borderId="0" xfId="0" applyFont="1"/>
    <xf numFmtId="0" fontId="5" fillId="4" borderId="0" xfId="0" applyFont="1" applyFill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164" fontId="6" fillId="4" borderId="0" xfId="0" applyNumberFormat="1" applyFont="1" applyFill="1"/>
    <xf numFmtId="165" fontId="6" fillId="0" borderId="0" xfId="0" applyNumberFormat="1" applyFont="1"/>
    <xf numFmtId="166" fontId="6" fillId="0" borderId="0" xfId="0" applyNumberFormat="1" applyFont="1"/>
    <xf numFmtId="167" fontId="6" fillId="0" borderId="0" xfId="0" applyNumberFormat="1" applyFont="1"/>
    <xf numFmtId="167" fontId="5" fillId="0" borderId="0" xfId="0" applyNumberFormat="1" applyFont="1"/>
    <xf numFmtId="168" fontId="6" fillId="4" borderId="0" xfId="0" applyNumberFormat="1" applyFont="1" applyFill="1"/>
    <xf numFmtId="2" fontId="6" fillId="4" borderId="0" xfId="0" applyNumberFormat="1" applyFont="1" applyFill="1"/>
    <xf numFmtId="168" fontId="6" fillId="0" borderId="0" xfId="0" applyNumberFormat="1" applyFont="1"/>
    <xf numFmtId="2" fontId="5" fillId="0" borderId="0" xfId="0" applyNumberFormat="1" applyFont="1"/>
    <xf numFmtId="164" fontId="6" fillId="0" borderId="0" xfId="0" applyNumberFormat="1" applyFont="1"/>
    <xf numFmtId="167" fontId="7" fillId="0" borderId="0" xfId="0" applyNumberFormat="1" applyFont="1"/>
    <xf numFmtId="0" fontId="4" fillId="0" borderId="1" xfId="0" applyFont="1" applyBorder="1"/>
    <xf numFmtId="167" fontId="4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9" fontId="6" fillId="0" borderId="0" xfId="0" applyNumberFormat="1" applyFont="1"/>
    <xf numFmtId="164" fontId="5" fillId="0" borderId="0" xfId="0" applyNumberFormat="1" applyFont="1"/>
    <xf numFmtId="168" fontId="5" fillId="0" borderId="0" xfId="0" applyNumberFormat="1" applyFont="1"/>
    <xf numFmtId="0" fontId="8" fillId="0" borderId="0" xfId="0" applyFont="1" applyAlignment="1">
      <alignment horizontal="right"/>
    </xf>
    <xf numFmtId="170" fontId="5" fillId="0" borderId="0" xfId="0" applyNumberFormat="1" applyFont="1"/>
    <xf numFmtId="0" fontId="4" fillId="0" borderId="0" xfId="0" applyFont="1" applyAlignment="1">
      <alignment horizontal="right"/>
    </xf>
    <xf numFmtId="168" fontId="9" fillId="0" borderId="0" xfId="0" applyNumberFormat="1" applyFont="1"/>
    <xf numFmtId="2" fontId="9" fillId="0" borderId="0" xfId="0" applyNumberFormat="1" applyFont="1"/>
    <xf numFmtId="168" fontId="4" fillId="0" borderId="0" xfId="0" applyNumberFormat="1" applyFont="1"/>
    <xf numFmtId="167" fontId="9" fillId="0" borderId="0" xfId="0" applyNumberFormat="1" applyFont="1"/>
    <xf numFmtId="168" fontId="4" fillId="5" borderId="0" xfId="0" applyNumberFormat="1" applyFont="1" applyFill="1"/>
    <xf numFmtId="9" fontId="6" fillId="4" borderId="2" xfId="0" applyNumberFormat="1" applyFont="1" applyFill="1" applyBorder="1"/>
    <xf numFmtId="167" fontId="10" fillId="0" borderId="0" xfId="0" applyNumberFormat="1" applyFont="1"/>
    <xf numFmtId="167" fontId="4" fillId="0" borderId="0" xfId="0" applyNumberFormat="1" applyFont="1"/>
    <xf numFmtId="0" fontId="0" fillId="0" borderId="1" xfId="0" applyBorder="1"/>
    <xf numFmtId="167" fontId="10" fillId="0" borderId="1" xfId="0" applyNumberFormat="1" applyFont="1" applyBorder="1"/>
    <xf numFmtId="171" fontId="6" fillId="0" borderId="0" xfId="0" applyNumberFormat="1" applyFont="1"/>
    <xf numFmtId="172" fontId="5" fillId="0" borderId="0" xfId="0" applyNumberFormat="1" applyFont="1"/>
    <xf numFmtId="164" fontId="4" fillId="5" borderId="0" xfId="0" applyNumberFormat="1" applyFont="1" applyFill="1"/>
    <xf numFmtId="164" fontId="9" fillId="0" borderId="0" xfId="0" applyNumberFormat="1" applyFont="1"/>
    <xf numFmtId="0" fontId="4" fillId="5" borderId="0" xfId="0" applyFont="1" applyFill="1"/>
    <xf numFmtId="173" fontId="5" fillId="0" borderId="0" xfId="0" applyNumberFormat="1" applyFont="1"/>
    <xf numFmtId="168" fontId="6" fillId="0" borderId="2" xfId="0" applyNumberFormat="1" applyFont="1" applyBorder="1"/>
    <xf numFmtId="3" fontId="4" fillId="0" borderId="0" xfId="0" applyNumberFormat="1" applyFont="1"/>
    <xf numFmtId="168" fontId="7" fillId="3" borderId="0" xfId="0" applyNumberFormat="1" applyFont="1" applyFill="1" applyAlignment="1">
      <alignment horizontal="center"/>
    </xf>
    <xf numFmtId="168" fontId="4" fillId="3" borderId="0" xfId="0" applyNumberFormat="1" applyFont="1" applyFill="1"/>
    <xf numFmtId="3" fontId="5" fillId="0" borderId="0" xfId="0" applyNumberFormat="1" applyFont="1" applyAlignment="1">
      <alignment horizontal="center"/>
    </xf>
    <xf numFmtId="3" fontId="5" fillId="5" borderId="0" xfId="0" applyNumberFormat="1" applyFont="1" applyFill="1" applyAlignment="1">
      <alignment horizontal="center"/>
    </xf>
    <xf numFmtId="9" fontId="7" fillId="3" borderId="0" xfId="0" applyNumberFormat="1" applyFont="1" applyFill="1"/>
    <xf numFmtId="174" fontId="6" fillId="0" borderId="0" xfId="0" applyNumberFormat="1" applyFont="1"/>
    <xf numFmtId="0" fontId="4" fillId="5" borderId="1" xfId="0" applyFont="1" applyFill="1" applyBorder="1"/>
    <xf numFmtId="0" fontId="5" fillId="5" borderId="1" xfId="0" applyFont="1" applyFill="1" applyBorder="1"/>
    <xf numFmtId="164" fontId="9" fillId="5" borderId="1" xfId="0" applyNumberFormat="1" applyFont="1" applyFill="1" applyBorder="1"/>
    <xf numFmtId="165" fontId="9" fillId="5" borderId="1" xfId="0" applyNumberFormat="1" applyFont="1" applyFill="1" applyBorder="1"/>
    <xf numFmtId="169" fontId="9" fillId="5" borderId="1" xfId="0" applyNumberFormat="1" applyFont="1" applyFill="1" applyBorder="1"/>
    <xf numFmtId="167" fontId="5" fillId="5" borderId="1" xfId="0" applyNumberFormat="1" applyFont="1" applyFill="1" applyBorder="1"/>
    <xf numFmtId="167" fontId="9" fillId="5" borderId="1" xfId="0" applyNumberFormat="1" applyFont="1" applyFill="1" applyBorder="1"/>
    <xf numFmtId="167" fontId="6" fillId="5" borderId="1" xfId="0" applyNumberFormat="1" applyFont="1" applyFill="1" applyBorder="1"/>
    <xf numFmtId="164" fontId="6" fillId="5" borderId="1" xfId="0" applyNumberFormat="1" applyFont="1" applyFill="1" applyBorder="1"/>
    <xf numFmtId="168" fontId="5" fillId="5" borderId="1" xfId="0" applyNumberFormat="1" applyFont="1" applyFill="1" applyBorder="1"/>
    <xf numFmtId="173" fontId="5" fillId="5" borderId="1" xfId="0" applyNumberFormat="1" applyFont="1" applyFill="1" applyBorder="1"/>
    <xf numFmtId="173" fontId="4" fillId="0" borderId="0" xfId="0" applyNumberFormat="1" applyFont="1"/>
    <xf numFmtId="173" fontId="4" fillId="5" borderId="1" xfId="0" applyNumberFormat="1" applyFont="1" applyFill="1" applyBorder="1"/>
    <xf numFmtId="168" fontId="4" fillId="5" borderId="1" xfId="0" applyNumberFormat="1" applyFont="1" applyFill="1" applyBorder="1"/>
    <xf numFmtId="164" fontId="4" fillId="0" borderId="0" xfId="0" applyNumberFormat="1" applyFont="1"/>
    <xf numFmtId="3" fontId="9" fillId="0" borderId="0" xfId="0" applyNumberFormat="1" applyFont="1"/>
    <xf numFmtId="3" fontId="5" fillId="0" borderId="0" xfId="0" applyNumberFormat="1" applyFont="1"/>
    <xf numFmtId="3" fontId="10" fillId="0" borderId="0" xfId="0" applyNumberFormat="1" applyFont="1"/>
    <xf numFmtId="173" fontId="9" fillId="0" borderId="0" xfId="0" applyNumberFormat="1" applyFont="1"/>
    <xf numFmtId="0" fontId="11" fillId="0" borderId="0" xfId="0" applyFont="1"/>
    <xf numFmtId="0" fontId="5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Most methods value Airbnb below the share price (USD per share)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2998726851851849E-2"/>
          <c:y val="3.5606565656565656E-2"/>
          <c:w val="0.9308322916666667"/>
          <c:h val="0.76152474747474752"/>
        </c:manualLayout>
      </c:layout>
      <c:lineChart>
        <c:grouping val="standard"/>
        <c:varyColors val="1"/>
        <c:ser>
          <c:idx val="0"/>
          <c:order val="0"/>
          <c:tx>
            <c:strRef>
              <c:f>'Football Field'!$B$4</c:f>
              <c:strCache>
                <c:ptCount val="1"/>
                <c:pt idx="0">
                  <c:v>Low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solidFill>
                  <a:srgbClr val="1F386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plus"/>
            <c:errValType val="cust"/>
            <c:noEndCap val="1"/>
            <c:plus>
              <c:numRef>
                <c:f>'Football Field'!$D$5:$D$12</c:f>
                <c:numCache>
                  <c:formatCode>General</c:formatCode>
                  <c:ptCount val="8"/>
                  <c:pt idx="0">
                    <c:v>27.074171583289072</c:v>
                  </c:pt>
                  <c:pt idx="1">
                    <c:v>64.26299334636434</c:v>
                  </c:pt>
                  <c:pt idx="2">
                    <c:v>6.6906912212645437</c:v>
                  </c:pt>
                  <c:pt idx="3">
                    <c:v>15.641318312687659</c:v>
                  </c:pt>
                  <c:pt idx="4">
                    <c:v>52.395913385554948</c:v>
                  </c:pt>
                  <c:pt idx="5">
                    <c:v>35.464364528453075</c:v>
                  </c:pt>
                  <c:pt idx="6">
                    <c:v>85</c:v>
                  </c:pt>
                  <c:pt idx="7">
                    <c:v>82.639999999999986</c:v>
                  </c:pt>
                </c:numCache>
              </c:numRef>
            </c:plus>
            <c:spPr>
              <a:ln w="50800">
                <a:solidFill>
                  <a:srgbClr val="C9CDD4"/>
                </a:solidFill>
                <a:prstDash val="solid"/>
              </a:ln>
            </c:spPr>
          </c:errBars>
          <c:cat>
            <c:strRef>
              <c:f>'Football Field'!$A$5:$A$12</c:f>
              <c:strCache>
                <c:ptCount val="8"/>
                <c:pt idx="0">
                  <c:v>DCF: WACC / terminal growth</c:v>
                </c:pt>
                <c:pt idx="1">
                  <c:v>DCF: SBC treatment</c:v>
                </c:pt>
                <c:pt idx="2">
                  <c:v>EV/EBIT 26E, online travel</c:v>
                </c:pt>
                <c:pt idx="3">
                  <c:v>EV/EBIT 26E, hotel franchisors</c:v>
                </c:pt>
                <c:pt idx="4">
                  <c:v>P/E 26E, online travel</c:v>
                </c:pt>
                <c:pt idx="5">
                  <c:v>P/E 26E, hotel franchisors</c:v>
                </c:pt>
                <c:pt idx="6">
                  <c:v>Analyst price targets</c:v>
                </c:pt>
                <c:pt idx="7">
                  <c:v>52-week trading range</c:v>
                </c:pt>
              </c:strCache>
            </c:strRef>
          </c:cat>
          <c:val>
            <c:numRef>
              <c:f>'Football Field'!$B$5:$B$12</c:f>
              <c:numCache>
                <c:formatCode>#,##0</c:formatCode>
                <c:ptCount val="8"/>
                <c:pt idx="0">
                  <c:v>104.07357670480842</c:v>
                </c:pt>
                <c:pt idx="1">
                  <c:v>105.24126246848112</c:v>
                </c:pt>
                <c:pt idx="2">
                  <c:v>72.053924022800501</c:v>
                </c:pt>
                <c:pt idx="3">
                  <c:v>126.23134805177914</c:v>
                </c:pt>
                <c:pt idx="4">
                  <c:v>75.530094981111716</c:v>
                </c:pt>
                <c:pt idx="5">
                  <c:v>167.11961827956986</c:v>
                </c:pt>
                <c:pt idx="6">
                  <c:v>135</c:v>
                </c:pt>
                <c:pt idx="7">
                  <c:v>110.81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62-4DAC-8C7C-5D2F11303171}"/>
            </c:ext>
          </c:extLst>
        </c:ser>
        <c:ser>
          <c:idx val="1"/>
          <c:order val="1"/>
          <c:tx>
            <c:strRef>
              <c:f>'Football Field'!$C$4</c:f>
              <c:strCache>
                <c:ptCount val="1"/>
                <c:pt idx="0">
                  <c:v>High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92D050"/>
              </a:solidFill>
              <a:ln>
                <a:solidFill>
                  <a:srgbClr val="1F386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Field'!$A$5:$A$12</c:f>
              <c:strCache>
                <c:ptCount val="8"/>
                <c:pt idx="0">
                  <c:v>DCF: WACC / terminal growth</c:v>
                </c:pt>
                <c:pt idx="1">
                  <c:v>DCF: SBC treatment</c:v>
                </c:pt>
                <c:pt idx="2">
                  <c:v>EV/EBIT 26E, online travel</c:v>
                </c:pt>
                <c:pt idx="3">
                  <c:v>EV/EBIT 26E, hotel franchisors</c:v>
                </c:pt>
                <c:pt idx="4">
                  <c:v>P/E 26E, online travel</c:v>
                </c:pt>
                <c:pt idx="5">
                  <c:v>P/E 26E, hotel franchisors</c:v>
                </c:pt>
                <c:pt idx="6">
                  <c:v>Analyst price targets</c:v>
                </c:pt>
                <c:pt idx="7">
                  <c:v>52-week trading range</c:v>
                </c:pt>
              </c:strCache>
            </c:strRef>
          </c:cat>
          <c:val>
            <c:numRef>
              <c:f>'Football Field'!$C$5:$C$12</c:f>
              <c:numCache>
                <c:formatCode>#,##0</c:formatCode>
                <c:ptCount val="8"/>
                <c:pt idx="0">
                  <c:v>131.14774828809749</c:v>
                </c:pt>
                <c:pt idx="1">
                  <c:v>169.50425581484546</c:v>
                </c:pt>
                <c:pt idx="2">
                  <c:v>78.744615244065045</c:v>
                </c:pt>
                <c:pt idx="3">
                  <c:v>141.8726663644668</c:v>
                </c:pt>
                <c:pt idx="4">
                  <c:v>127.92600836666666</c:v>
                </c:pt>
                <c:pt idx="5">
                  <c:v>202.58398280802294</c:v>
                </c:pt>
                <c:pt idx="6">
                  <c:v>220</c:v>
                </c:pt>
                <c:pt idx="7">
                  <c:v>193.45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62-4DAC-8C7C-5D2F11303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2"/>
          <c:order val="2"/>
          <c:tx>
            <c:strRef>
              <c:f>'Football Field'!$F$4</c:f>
              <c:strCache>
                <c:ptCount val="1"/>
                <c:pt idx="0">
                  <c:v>Share price</c:v>
                </c:pt>
              </c:strCache>
            </c:strRef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val>
            <c:numRef>
              <c:f>'Football Field'!$F$5:$F$12</c:f>
              <c:numCache>
                <c:formatCode>#,##0</c:formatCode>
                <c:ptCount val="8"/>
                <c:pt idx="0">
                  <c:v>162.43</c:v>
                </c:pt>
                <c:pt idx="1">
                  <c:v>162.43</c:v>
                </c:pt>
                <c:pt idx="2">
                  <c:v>162.43</c:v>
                </c:pt>
                <c:pt idx="3">
                  <c:v>162.43</c:v>
                </c:pt>
                <c:pt idx="4">
                  <c:v>162.43</c:v>
                </c:pt>
                <c:pt idx="5">
                  <c:v>162.43</c:v>
                </c:pt>
                <c:pt idx="6">
                  <c:v>162.43</c:v>
                </c:pt>
                <c:pt idx="7">
                  <c:v>162.43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562-4DAC-8C7C-5D2F11303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3"/>
          <c:order val="3"/>
          <c:tx>
            <c:strRef>
              <c:f>'Football Field'!$G$4</c:f>
              <c:strCache>
                <c:ptCount val="1"/>
                <c:pt idx="0">
                  <c:v>DCF base case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diamond"/>
            <c:size val="11"/>
            <c:spPr>
              <a:solidFill>
                <a:srgbClr val="F4B183"/>
              </a:solidFill>
              <a:ln>
                <a:solidFill>
                  <a:srgbClr val="1F386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1F3864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'Football Field'!$G$5:$G$12</c:f>
              <c:numCache>
                <c:formatCode>General</c:formatCode>
                <c:ptCount val="8"/>
                <c:pt idx="0" formatCode="#,##0">
                  <c:v>115.68822649555594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562-4DAC-8C7C-5D2F11303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50"/>
          <c:min val="50"/>
        </c:scaling>
        <c:delete val="0"/>
        <c:axPos val="l"/>
        <c:majorGridlines>
          <c:spPr>
            <a:ln>
              <a:solidFill>
                <a:srgbClr val="EDEDED"/>
              </a:solidFill>
              <a:prstDash val="solid"/>
            </a:ln>
          </c:spPr>
        </c:majorGridlines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  <c:majorUnit val="50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 third of reported free cash flow is stock pay (USD m)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4253472222222221E-2"/>
          <c:y val="4.8506944444444443E-2"/>
          <c:w val="0.95149305555555552"/>
          <c:h val="0.7660569444444445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Charts!$A$6</c:f>
              <c:strCache>
                <c:ptCount val="1"/>
                <c:pt idx="0">
                  <c:v>Free cash flow after SBC</c:v>
                </c:pt>
              </c:strCache>
            </c:strRef>
          </c:tx>
          <c:spPr>
            <a:solidFill>
              <a:srgbClr val="1F3864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Charts!$B$5:$E$5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Charts!$B$6:$E$6</c:f>
              <c:numCache>
                <c:formatCode>#,##0;\(#,##0\);"-"</c:formatCode>
                <c:ptCount val="4"/>
                <c:pt idx="0">
                  <c:v>2475</c:v>
                </c:pt>
                <c:pt idx="1">
                  <c:v>2717</c:v>
                </c:pt>
                <c:pt idx="2">
                  <c:v>3077</c:v>
                </c:pt>
                <c:pt idx="3">
                  <c:v>3021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2F6-4215-8614-532C17CB9E74}"/>
            </c:ext>
          </c:extLst>
        </c:ser>
        <c:ser>
          <c:idx val="1"/>
          <c:order val="1"/>
          <c:tx>
            <c:strRef>
              <c:f>Charts!$A$7</c:f>
              <c:strCache>
                <c:ptCount val="1"/>
                <c:pt idx="0">
                  <c:v>Stock-based compensation</c:v>
                </c:pt>
              </c:strCache>
            </c:strRef>
          </c:tx>
          <c:spPr>
            <a:solidFill>
              <a:srgbClr val="B9BDC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solidFill>
                      <a:srgbClr val="222222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Charts!$B$5:$E$5</c:f>
              <c:strCache>
                <c:ptCount val="4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  <c:pt idx="3">
                  <c:v>FY2025</c:v>
                </c:pt>
              </c:strCache>
            </c:strRef>
          </c:cat>
          <c:val>
            <c:numRef>
              <c:f>Charts!$B$7:$E$7</c:f>
              <c:numCache>
                <c:formatCode>#,##0;\(#,##0\);"-"</c:formatCode>
                <c:ptCount val="4"/>
                <c:pt idx="0">
                  <c:v>930</c:v>
                </c:pt>
                <c:pt idx="1">
                  <c:v>1120</c:v>
                </c:pt>
                <c:pt idx="2">
                  <c:v>1407</c:v>
                </c:pt>
                <c:pt idx="3">
                  <c:v>1592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2F6-4215-8614-532C17CB9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;\(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Airbnb trades at more than twice the EBIT multiple of online travel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3262673611111112"/>
          <c:y val="0.11024305555555555"/>
          <c:w val="0.74311979166666664"/>
          <c:h val="0.8412499999999998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Charts!$B$12</c:f>
              <c:strCache>
                <c:ptCount val="1"/>
                <c:pt idx="0">
                  <c:v>EV/EBIT 26E</c:v>
                </c:pt>
              </c:strCache>
            </c:strRef>
          </c:tx>
          <c:spPr>
            <a:solidFill>
              <a:srgbClr val="B9BDC5"/>
            </a:solidFill>
            <a:ln>
              <a:prstDash val="solid"/>
            </a:ln>
          </c:spPr>
          <c:invertIfNegative val="1"/>
          <c:dPt>
            <c:idx val="5"/>
            <c:invertIfNegative val="1"/>
            <c:bubble3D val="0"/>
            <c:spPr>
              <a:solidFill>
                <a:srgbClr val="1F386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4B-4825-9D95-B2901968169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Charts!$A$13:$A$18</c:f>
              <c:strCache>
                <c:ptCount val="6"/>
                <c:pt idx="0">
                  <c:v>Booking Holdings</c:v>
                </c:pt>
                <c:pt idx="1">
                  <c:v>Expedia Group</c:v>
                </c:pt>
                <c:pt idx="2">
                  <c:v>Trip.com Group</c:v>
                </c:pt>
                <c:pt idx="3">
                  <c:v>Marriott International</c:v>
                </c:pt>
                <c:pt idx="4">
                  <c:v>Hilton Worldwide</c:v>
                </c:pt>
                <c:pt idx="5">
                  <c:v>Airbnb (consensus)</c:v>
                </c:pt>
              </c:strCache>
            </c:strRef>
          </c:cat>
          <c:val>
            <c:numRef>
              <c:f>Charts!$B$13:$B$18</c:f>
              <c:numCache>
                <c:formatCode>0.0"x";\(0.0"x"\);"-"</c:formatCode>
                <c:ptCount val="6"/>
                <c:pt idx="0">
                  <c:v>11.803160414046628</c:v>
                </c:pt>
                <c:pt idx="1">
                  <c:v>11.302644822370736</c:v>
                </c:pt>
                <c:pt idx="2">
                  <c:v>12.61590904128939</c:v>
                </c:pt>
                <c:pt idx="3">
                  <c:v>21.936713874057467</c:v>
                </c:pt>
                <c:pt idx="4">
                  <c:v>25.006827707959303</c:v>
                </c:pt>
                <c:pt idx="5">
                  <c:v>27.802712659105229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C4B-4825-9D95-B290196816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0.0&quot;x&quot;;\(0.0&quot;x&quot;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Only with SBC treated as free does the DCF get close to the price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8319444444444447E-2"/>
          <c:y val="4.8959027777777775E-2"/>
          <c:w val="0.90742708333333333"/>
          <c:h val="0.7391465277777777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Charts!$B$21</c:f>
              <c:strCache>
                <c:ptCount val="1"/>
                <c:pt idx="0">
                  <c:v>DCF value (USD)</c:v>
                </c:pt>
              </c:strCache>
            </c:strRef>
          </c:tx>
          <c:spPr>
            <a:solidFill>
              <a:srgbClr val="8C929C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1F386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F2C-40C2-8283-92EC0673D5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Charts!$A$22:$A$26</c:f>
              <c:strCache>
                <c:ptCount val="5"/>
                <c:pt idx="0">
                  <c:v>100%</c:v>
                </c:pt>
                <c:pt idx="1">
                  <c:v>75%</c:v>
                </c:pt>
                <c:pt idx="2">
                  <c:v>50%</c:v>
                </c:pt>
                <c:pt idx="3">
                  <c:v>25%</c:v>
                </c:pt>
                <c:pt idx="4">
                  <c:v>0%</c:v>
                </c:pt>
              </c:strCache>
            </c:strRef>
          </c:cat>
          <c:val>
            <c:numRef>
              <c:f>Charts!$B$22:$B$26</c:f>
              <c:numCache>
                <c:formatCode>#,##0</c:formatCode>
                <c:ptCount val="5"/>
                <c:pt idx="0">
                  <c:v>115.68822649555594</c:v>
                </c:pt>
                <c:pt idx="1">
                  <c:v>126.53049281860963</c:v>
                </c:pt>
                <c:pt idx="2">
                  <c:v>137.37275914166332</c:v>
                </c:pt>
                <c:pt idx="3">
                  <c:v>148.215025464717</c:v>
                </c:pt>
                <c:pt idx="4">
                  <c:v>159.05729178777068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F2C-40C2-8283-92EC0673D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Charts!$C$21</c:f>
              <c:strCache>
                <c:ptCount val="1"/>
                <c:pt idx="0">
                  <c:v>Share price (USD)</c:v>
                </c:pt>
              </c:strCache>
            </c:strRef>
          </c:tx>
          <c:spPr>
            <a:ln>
              <a:solidFill>
                <a:srgbClr val="3A3A3A"/>
              </a:solidFill>
              <a:prstDash val="dash"/>
            </a:ln>
          </c:spPr>
          <c:marker>
            <c:symbol val="none"/>
          </c:marker>
          <c:val>
            <c:numRef>
              <c:f>Charts!$C$22:$C$26</c:f>
              <c:numCache>
                <c:formatCode>#,##0</c:formatCode>
                <c:ptCount val="5"/>
                <c:pt idx="0">
                  <c:v>162.43</c:v>
                </c:pt>
                <c:pt idx="1">
                  <c:v>162.43</c:v>
                </c:pt>
                <c:pt idx="2">
                  <c:v>162.43</c:v>
                </c:pt>
                <c:pt idx="3">
                  <c:v>162.43</c:v>
                </c:pt>
                <c:pt idx="4">
                  <c:v>162.43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2C-40C2-8283-92EC0673D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00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  <c:majorUnit val="50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The price needs growth about 9.5 points a year above forecast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4253472222222221E-2"/>
          <c:y val="4.8506944444444443E-2"/>
          <c:w val="0.95149305555555552"/>
          <c:h val="0.7351888888888888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Charts!$B$30</c:f>
              <c:strCache>
                <c:ptCount val="1"/>
                <c:pt idx="0">
                  <c:v>Reported</c:v>
                </c:pt>
              </c:strCache>
            </c:strRef>
          </c:tx>
          <c:spPr>
            <a:solidFill>
              <a:srgbClr val="B9BDC5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Charts!$A$31:$A$39</c:f>
              <c:strCach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H1 2026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Charts!$B$31:$B$39</c:f>
              <c:numCache>
                <c:formatCode>0.0%;\(0.0%\);"-"</c:formatCode>
                <c:ptCount val="9"/>
                <c:pt idx="0">
                  <c:v>0.18073580188117644</c:v>
                </c:pt>
                <c:pt idx="1">
                  <c:v>0.11949178178884745</c:v>
                </c:pt>
                <c:pt idx="2">
                  <c:v>0.10259412718429117</c:v>
                </c:pt>
                <c:pt idx="3">
                  <c:v>0.17101341281669158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32-479C-92C9-15825E980D9B}"/>
            </c:ext>
          </c:extLst>
        </c:ser>
        <c:ser>
          <c:idx val="1"/>
          <c:order val="1"/>
          <c:tx>
            <c:strRef>
              <c:f>Charts!$C$30</c:f>
              <c:strCache>
                <c:ptCount val="1"/>
                <c:pt idx="0">
                  <c:v>My forecast</c:v>
                </c:pt>
              </c:strCache>
            </c:strRef>
          </c:tx>
          <c:spPr>
            <a:solidFill>
              <a:srgbClr val="1F3864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Charts!$A$31:$A$39</c:f>
              <c:strCache>
                <c:ptCount val="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H1 2026</c:v>
                </c:pt>
                <c:pt idx="4">
                  <c:v>2026E</c:v>
                </c:pt>
                <c:pt idx="5">
                  <c:v>2027E</c:v>
                </c:pt>
                <c:pt idx="6">
                  <c:v>2028E</c:v>
                </c:pt>
                <c:pt idx="7">
                  <c:v>2029E</c:v>
                </c:pt>
                <c:pt idx="8">
                  <c:v>2030E</c:v>
                </c:pt>
              </c:strCache>
            </c:strRef>
          </c:cat>
          <c:val>
            <c:numRef>
              <c:f>Charts!$C$31:$C$39</c:f>
              <c:numCache>
                <c:formatCode>General</c:formatCode>
                <c:ptCount val="9"/>
                <c:pt idx="4" formatCode="0.0%;\(0.0%\);&quot;-&quot;">
                  <c:v>0.155</c:v>
                </c:pt>
                <c:pt idx="5" formatCode="0.0%;\(0.0%\);&quot;-&quot;">
                  <c:v>0.12</c:v>
                </c:pt>
                <c:pt idx="6" formatCode="0.0%;\(0.0%\);&quot;-&quot;">
                  <c:v>0.11</c:v>
                </c:pt>
                <c:pt idx="7" formatCode="0.0%;\(0.0%\);&quot;-&quot;">
                  <c:v>0.1</c:v>
                </c:pt>
                <c:pt idx="8" formatCode="0.0%;\(0.0%\);&quot;-&quot;">
                  <c:v>0.09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A32-479C-92C9-15825E980D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overlap val="100"/>
        <c:axId val="10"/>
        <c:axId val="100"/>
      </c:barChart>
      <c:lineChart>
        <c:grouping val="standard"/>
        <c:varyColors val="1"/>
        <c:ser>
          <c:idx val="2"/>
          <c:order val="2"/>
          <c:tx>
            <c:strRef>
              <c:f>Charts!$D$30</c:f>
              <c:strCache>
                <c:ptCount val="1"/>
                <c:pt idx="0">
                  <c:v>Needed for the price</c:v>
                </c:pt>
              </c:strCache>
            </c:strRef>
          </c:tx>
          <c:spPr>
            <a:ln>
              <a:solidFill>
                <a:srgbClr val="3A3A3A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Charts!$D$31:$D$39</c:f>
              <c:numCache>
                <c:formatCode>General</c:formatCode>
                <c:ptCount val="9"/>
                <c:pt idx="4" formatCode="0.0%;\(0.0%\);&quot;-&quot;">
                  <c:v>0.25019999999999998</c:v>
                </c:pt>
                <c:pt idx="5" formatCode="0.0%;\(0.0%\);&quot;-&quot;">
                  <c:v>0.2152</c:v>
                </c:pt>
                <c:pt idx="6" formatCode="0.0%;\(0.0%\);&quot;-&quot;">
                  <c:v>0.20519999999999999</c:v>
                </c:pt>
                <c:pt idx="7" formatCode="0.0%;\(0.0%\);&quot;-&quot;">
                  <c:v>0.19520000000000001</c:v>
                </c:pt>
                <c:pt idx="8" formatCode="0.0%;\(0.0%\);&quot;-&quot;">
                  <c:v>0.1852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32-479C-92C9-15825E980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0.0%;\(0.0%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190500</xdr:colOff>
      <xdr:row>3</xdr:row>
      <xdr:rowOff>0</xdr:rowOff>
    </xdr:from>
    <xdr:ext cx="86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37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54</xdr:row>
      <xdr:rowOff>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rketscreener.com/quote/stock/AIRBNB-INC-121407285/consensus/" TargetMode="External"/><Relationship Id="rId13" Type="http://schemas.openxmlformats.org/officeDocument/2006/relationships/hyperlink" Target="https://www.marketscreener.com/quote/stock/HILTON-WORLDWIDE-HOLDINGS-105519328/finances/" TargetMode="External"/><Relationship Id="rId18" Type="http://schemas.openxmlformats.org/officeDocument/2006/relationships/hyperlink" Target="https://ycharts.com/indicators/10_year_treasury_rate" TargetMode="External"/><Relationship Id="rId3" Type="http://schemas.openxmlformats.org/officeDocument/2006/relationships/hyperlink" Target="https://www.sec.gov/Archives/edgar/data/1559720/000119312524033706/d646462dex991.htm" TargetMode="External"/><Relationship Id="rId7" Type="http://schemas.openxmlformats.org/officeDocument/2006/relationships/hyperlink" Target="https://www.marketscreener.com/quote/stock/AIRBNB-INC-116310849/finances/" TargetMode="External"/><Relationship Id="rId12" Type="http://schemas.openxmlformats.org/officeDocument/2006/relationships/hyperlink" Target="https://www.marketscreener.com/quote/stock/MARRIOTT-INTERNATIONAL-IN-14633490/finances/" TargetMode="External"/><Relationship Id="rId17" Type="http://schemas.openxmlformats.org/officeDocument/2006/relationships/hyperlink" Target="https://bullfincher.io/companies/airbnb/stock-price-history" TargetMode="External"/><Relationship Id="rId2" Type="http://schemas.openxmlformats.org/officeDocument/2006/relationships/hyperlink" Target="https://s26.q4cdn.com/656283129/files/doc_financials/2025/q4/Airbnb_Q4-2025-Shareholder-Letter-Final.pdf" TargetMode="External"/><Relationship Id="rId16" Type="http://schemas.openxmlformats.org/officeDocument/2006/relationships/hyperlink" Target="https://www.sec.gov/Archives/edgar/data/1559720/000119312525174438/d17531dex991.htm" TargetMode="External"/><Relationship Id="rId20" Type="http://schemas.openxmlformats.org/officeDocument/2006/relationships/hyperlink" Target="https://finance.yahoo.com/quote/ABNB" TargetMode="External"/><Relationship Id="rId1" Type="http://schemas.openxmlformats.org/officeDocument/2006/relationships/hyperlink" Target="https://www.sec.gov/Archives/edgar/data/0001559720/000119312526337928/d70413dex991.htm" TargetMode="External"/><Relationship Id="rId6" Type="http://schemas.openxmlformats.org/officeDocument/2006/relationships/hyperlink" Target="https://www.sec.gov/Archives/edgar/data/1559720/000119312526108514/d106317d8k.htm" TargetMode="External"/><Relationship Id="rId11" Type="http://schemas.openxmlformats.org/officeDocument/2006/relationships/hyperlink" Target="https://www.marketscreener.com/quote/stock/TRIP-COM-GROUP-LIMITED-40311225/finances/" TargetMode="External"/><Relationship Id="rId5" Type="http://schemas.openxmlformats.org/officeDocument/2006/relationships/hyperlink" Target="https://www.sec.gov/Archives/edgar/data/0001559720/000155972026000027/abnb-20260630.htm" TargetMode="External"/><Relationship Id="rId15" Type="http://schemas.openxmlformats.org/officeDocument/2006/relationships/hyperlink" Target="https://www.sec.gov/Archives/edgar/data/1559720/000119312523039008/d451233dex991.htm" TargetMode="External"/><Relationship Id="rId10" Type="http://schemas.openxmlformats.org/officeDocument/2006/relationships/hyperlink" Target="https://www.marketscreener.com/quote/stock/EXPEDIA-GROUP-INC-9605918/finances/" TargetMode="External"/><Relationship Id="rId19" Type="http://schemas.openxmlformats.org/officeDocument/2006/relationships/hyperlink" Target="https://stocktwits.com/news-articles/markets/equity/s-and-p-500-held-flat-last-month-despite-surging-10-y-treasury-yields-wall-street-s-dean-of-valuation-says-risk-math-hasn-t-changed/cZoT3EWRJ5z" TargetMode="External"/><Relationship Id="rId4" Type="http://schemas.openxmlformats.org/officeDocument/2006/relationships/hyperlink" Target="https://www.sec.gov/Archives/edgar/data/1559720/000155972026000004/abnb-20251231.htm" TargetMode="External"/><Relationship Id="rId9" Type="http://schemas.openxmlformats.org/officeDocument/2006/relationships/hyperlink" Target="https://www.marketscreener.com/quote/stock/BOOKING-HOLDINGS-INC-41613106/finances/" TargetMode="External"/><Relationship Id="rId14" Type="http://schemas.openxmlformats.org/officeDocument/2006/relationships/hyperlink" Target="https://fred.stlouisfed.org/series/DEXCH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7"/>
  <sheetViews>
    <sheetView showGridLines="0" workbookViewId="0">
      <selection activeCell="B18" sqref="B18:E18"/>
    </sheetView>
  </sheetViews>
  <sheetFormatPr defaultRowHeight="15" x14ac:dyDescent="0.25"/>
  <cols>
    <col min="1" max="1" width="3" customWidth="1"/>
    <col min="2" max="2" width="38" customWidth="1"/>
    <col min="3" max="3" width="16" customWidth="1"/>
    <col min="4" max="4" width="14" customWidth="1"/>
    <col min="5" max="5" width="60" customWidth="1"/>
  </cols>
  <sheetData>
    <row r="2" spans="2:5" ht="20.25" x14ac:dyDescent="0.3">
      <c r="B2" s="1" t="s">
        <v>0</v>
      </c>
    </row>
    <row r="3" spans="2:5" x14ac:dyDescent="0.25">
      <c r="B3" s="2" t="s">
        <v>1</v>
      </c>
    </row>
    <row r="4" spans="2:5" x14ac:dyDescent="0.25">
      <c r="B4" s="3" t="s">
        <v>2</v>
      </c>
    </row>
    <row r="6" spans="2:5" x14ac:dyDescent="0.25">
      <c r="B6" s="4" t="s">
        <v>3</v>
      </c>
      <c r="C6" s="5"/>
      <c r="D6" s="5"/>
      <c r="E6" s="5"/>
    </row>
    <row r="7" spans="2:5" x14ac:dyDescent="0.25">
      <c r="B7" s="6" t="s">
        <v>4</v>
      </c>
      <c r="C7" s="7">
        <f>DCF!$C$42</f>
        <v>115.68822649555594</v>
      </c>
    </row>
    <row r="8" spans="2:5" x14ac:dyDescent="0.25">
      <c r="B8" s="8" t="s">
        <v>5</v>
      </c>
      <c r="C8" s="9">
        <f>Inputs!$B$6</f>
        <v>162.43</v>
      </c>
    </row>
    <row r="9" spans="2:5" x14ac:dyDescent="0.25">
      <c r="B9" s="8" t="s">
        <v>6</v>
      </c>
      <c r="C9" s="10">
        <f>Inputs!$B$7</f>
        <v>46297</v>
      </c>
    </row>
    <row r="10" spans="2:5" x14ac:dyDescent="0.25">
      <c r="B10" s="8" t="s">
        <v>7</v>
      </c>
      <c r="C10" s="11">
        <f>DCF!$C$44</f>
        <v>-0.28776564368924507</v>
      </c>
    </row>
    <row r="11" spans="2:5" x14ac:dyDescent="0.25">
      <c r="B11" s="6" t="s">
        <v>8</v>
      </c>
      <c r="C11" s="12" t="str">
        <f>DCF!$C$45</f>
        <v>SELL</v>
      </c>
    </row>
    <row r="12" spans="2:5" x14ac:dyDescent="0.25">
      <c r="B12" s="8" t="s">
        <v>9</v>
      </c>
      <c r="C12" s="11">
        <f>WACC!B15</f>
        <v>0.10030562440144693</v>
      </c>
    </row>
    <row r="13" spans="2:5" x14ac:dyDescent="0.25">
      <c r="B13" s="8" t="s">
        <v>10</v>
      </c>
      <c r="C13" s="11">
        <f>DCF!I6</f>
        <v>0.03</v>
      </c>
    </row>
    <row r="14" spans="2:5" x14ac:dyDescent="0.25">
      <c r="B14" s="8" t="s">
        <v>11</v>
      </c>
      <c r="C14" s="9">
        <f>DCF!F80</f>
        <v>159.05729178777068</v>
      </c>
      <c r="D14" s="3" t="s">
        <v>12</v>
      </c>
    </row>
    <row r="16" spans="2:5" x14ac:dyDescent="0.25">
      <c r="B16" s="4" t="s">
        <v>416</v>
      </c>
      <c r="C16" s="5"/>
      <c r="D16" s="5"/>
      <c r="E16" s="5"/>
    </row>
    <row r="17" spans="2:5" ht="42" customHeight="1" x14ac:dyDescent="0.25">
      <c r="B17" s="84" t="s">
        <v>13</v>
      </c>
      <c r="C17" s="85"/>
      <c r="D17" s="85"/>
      <c r="E17" s="85"/>
    </row>
    <row r="18" spans="2:5" ht="42" customHeight="1" x14ac:dyDescent="0.25">
      <c r="B18" s="84" t="s">
        <v>14</v>
      </c>
      <c r="C18" s="85"/>
      <c r="D18" s="85"/>
      <c r="E18" s="85"/>
    </row>
    <row r="19" spans="2:5" ht="42" customHeight="1" x14ac:dyDescent="0.25">
      <c r="B19" s="84" t="s">
        <v>15</v>
      </c>
      <c r="C19" s="85"/>
      <c r="D19" s="85"/>
      <c r="E19" s="85"/>
    </row>
    <row r="20" spans="2:5" ht="42" customHeight="1" x14ac:dyDescent="0.25">
      <c r="B20" s="84" t="s">
        <v>16</v>
      </c>
      <c r="C20" s="85"/>
      <c r="D20" s="85"/>
      <c r="E20" s="85"/>
    </row>
    <row r="22" spans="2:5" x14ac:dyDescent="0.25">
      <c r="B22" s="4" t="s">
        <v>17</v>
      </c>
      <c r="C22" s="5"/>
      <c r="D22" s="5"/>
      <c r="E22" s="5"/>
    </row>
    <row r="23" spans="2:5" x14ac:dyDescent="0.25">
      <c r="B23" s="13" t="s">
        <v>18</v>
      </c>
      <c r="C23" s="8" t="s">
        <v>19</v>
      </c>
    </row>
    <row r="24" spans="2:5" x14ac:dyDescent="0.25">
      <c r="B24" s="13" t="s">
        <v>20</v>
      </c>
      <c r="C24" s="8" t="s">
        <v>21</v>
      </c>
    </row>
    <row r="25" spans="2:5" x14ac:dyDescent="0.25">
      <c r="B25" s="13" t="s">
        <v>9</v>
      </c>
      <c r="C25" s="8" t="s">
        <v>22</v>
      </c>
    </row>
    <row r="26" spans="2:5" x14ac:dyDescent="0.25">
      <c r="B26" s="13" t="s">
        <v>23</v>
      </c>
      <c r="C26" s="8" t="s">
        <v>24</v>
      </c>
    </row>
    <row r="27" spans="2:5" x14ac:dyDescent="0.25">
      <c r="B27" s="13" t="s">
        <v>25</v>
      </c>
      <c r="C27" s="8" t="s">
        <v>26</v>
      </c>
    </row>
    <row r="28" spans="2:5" x14ac:dyDescent="0.25">
      <c r="B28" s="13" t="s">
        <v>27</v>
      </c>
      <c r="C28" s="8" t="s">
        <v>28</v>
      </c>
    </row>
    <row r="29" spans="2:5" x14ac:dyDescent="0.25">
      <c r="B29" s="13" t="s">
        <v>29</v>
      </c>
      <c r="C29" s="8" t="s">
        <v>30</v>
      </c>
    </row>
    <row r="30" spans="2:5" x14ac:dyDescent="0.25">
      <c r="B30" s="13" t="s">
        <v>31</v>
      </c>
      <c r="C30" s="8" t="s">
        <v>32</v>
      </c>
    </row>
    <row r="31" spans="2:5" x14ac:dyDescent="0.25">
      <c r="B31" s="4" t="s">
        <v>33</v>
      </c>
      <c r="C31" s="5"/>
      <c r="D31" s="5"/>
      <c r="E31" s="5"/>
    </row>
    <row r="32" spans="2:5" x14ac:dyDescent="0.25">
      <c r="B32" s="14" t="s">
        <v>34</v>
      </c>
      <c r="C32" s="8" t="s">
        <v>35</v>
      </c>
    </row>
    <row r="33" spans="2:3" x14ac:dyDescent="0.25">
      <c r="B33" s="8" t="s">
        <v>36</v>
      </c>
      <c r="C33" s="8" t="s">
        <v>37</v>
      </c>
    </row>
    <row r="34" spans="2:3" x14ac:dyDescent="0.25">
      <c r="B34" s="15" t="s">
        <v>38</v>
      </c>
      <c r="C34" s="8" t="s">
        <v>39</v>
      </c>
    </row>
    <row r="35" spans="2:3" x14ac:dyDescent="0.25">
      <c r="B35" s="16" t="s">
        <v>40</v>
      </c>
      <c r="C35" s="8" t="s">
        <v>41</v>
      </c>
    </row>
    <row r="37" spans="2:3" x14ac:dyDescent="0.25">
      <c r="B37" s="3" t="s">
        <v>42</v>
      </c>
    </row>
  </sheetData>
  <mergeCells count="4">
    <mergeCell ref="B17:E17"/>
    <mergeCell ref="B18:E18"/>
    <mergeCell ref="B19:E19"/>
    <mergeCell ref="B20:E20"/>
  </mergeCells>
  <hyperlinks>
    <hyperlink ref="B23" location="'Inputs'!A1" display="Inputs" xr:uid="{00000000-0004-0000-0000-000000000000}"/>
    <hyperlink ref="B24" location="'Historicals'!A1" display="Historicals" xr:uid="{00000000-0004-0000-0000-000001000000}"/>
    <hyperlink ref="B25" location="'WACC'!A1" display="WACC" xr:uid="{00000000-0004-0000-0000-000002000000}"/>
    <hyperlink ref="B26" location="'DCF'!A1" display="DCF" xr:uid="{00000000-0004-0000-0000-000003000000}"/>
    <hyperlink ref="B27" location="'Comps'!A1" display="Comps" xr:uid="{00000000-0004-0000-0000-000004000000}"/>
    <hyperlink ref="B28" location="'Football Field'!A1" display="Football Field" xr:uid="{00000000-0004-0000-0000-000005000000}"/>
    <hyperlink ref="B29" location="'Charts'!A1" display="Charts" xr:uid="{00000000-0004-0000-0000-000006000000}"/>
    <hyperlink ref="B30" location="'Sources'!A1" display="Sources" xr:uid="{00000000-0004-0000-0000-00000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showGridLines="0" topLeftCell="A19" workbookViewId="0"/>
  </sheetViews>
  <sheetFormatPr defaultRowHeight="15" x14ac:dyDescent="0.25"/>
  <cols>
    <col min="1" max="1" width="46" customWidth="1"/>
    <col min="2" max="2" width="13" customWidth="1"/>
    <col min="3" max="3" width="8" customWidth="1"/>
    <col min="4" max="4" width="100" customWidth="1"/>
  </cols>
  <sheetData>
    <row r="1" spans="1:4" ht="20.25" x14ac:dyDescent="0.3">
      <c r="A1" s="1" t="s">
        <v>18</v>
      </c>
    </row>
    <row r="2" spans="1:4" x14ac:dyDescent="0.25">
      <c r="A2" s="3" t="s">
        <v>43</v>
      </c>
    </row>
    <row r="4" spans="1:4" x14ac:dyDescent="0.25">
      <c r="A4" s="17" t="s">
        <v>44</v>
      </c>
      <c r="B4" s="18" t="s">
        <v>45</v>
      </c>
      <c r="C4" s="18" t="s">
        <v>46</v>
      </c>
      <c r="D4" s="18" t="s">
        <v>47</v>
      </c>
    </row>
    <row r="5" spans="1:4" x14ac:dyDescent="0.25">
      <c r="A5" s="4" t="s">
        <v>48</v>
      </c>
      <c r="B5" s="5"/>
      <c r="C5" s="5"/>
      <c r="D5" s="5"/>
    </row>
    <row r="6" spans="1:4" x14ac:dyDescent="0.25">
      <c r="A6" s="8" t="s">
        <v>49</v>
      </c>
      <c r="B6" s="19">
        <v>162.43</v>
      </c>
      <c r="C6" s="8" t="s">
        <v>50</v>
      </c>
      <c r="D6" s="3" t="s">
        <v>51</v>
      </c>
    </row>
    <row r="7" spans="1:4" x14ac:dyDescent="0.25">
      <c r="A7" s="8" t="s">
        <v>6</v>
      </c>
      <c r="B7" s="20">
        <v>46297</v>
      </c>
      <c r="C7" s="8"/>
      <c r="D7" s="3"/>
    </row>
    <row r="8" spans="1:4" x14ac:dyDescent="0.25">
      <c r="A8" s="8" t="s">
        <v>52</v>
      </c>
      <c r="B8" s="21">
        <v>598.78599999999994</v>
      </c>
      <c r="C8" s="8" t="s">
        <v>53</v>
      </c>
      <c r="D8" s="3" t="s">
        <v>54</v>
      </c>
    </row>
    <row r="9" spans="1:4" x14ac:dyDescent="0.25">
      <c r="A9" s="8" t="s">
        <v>55</v>
      </c>
      <c r="B9" s="21">
        <v>623</v>
      </c>
      <c r="C9" s="8" t="s">
        <v>53</v>
      </c>
      <c r="D9" s="3" t="s">
        <v>56</v>
      </c>
    </row>
    <row r="11" spans="1:4" x14ac:dyDescent="0.25">
      <c r="A11" s="4" t="s">
        <v>57</v>
      </c>
      <c r="B11" s="5"/>
      <c r="C11" s="5"/>
      <c r="D11" s="5"/>
    </row>
    <row r="12" spans="1:4" x14ac:dyDescent="0.25">
      <c r="A12" s="8" t="s">
        <v>58</v>
      </c>
      <c r="B12" s="20">
        <v>46022</v>
      </c>
      <c r="C12" s="8"/>
      <c r="D12" s="3" t="s">
        <v>59</v>
      </c>
    </row>
    <row r="13" spans="1:4" x14ac:dyDescent="0.25">
      <c r="A13" s="8" t="s">
        <v>60</v>
      </c>
      <c r="B13" s="22">
        <v>6560</v>
      </c>
      <c r="C13" s="8" t="s">
        <v>61</v>
      </c>
      <c r="D13" s="3" t="s">
        <v>62</v>
      </c>
    </row>
    <row r="14" spans="1:4" x14ac:dyDescent="0.25">
      <c r="A14" s="8" t="s">
        <v>63</v>
      </c>
      <c r="B14" s="22">
        <v>4454</v>
      </c>
      <c r="C14" s="8" t="s">
        <v>61</v>
      </c>
      <c r="D14" s="3" t="s">
        <v>64</v>
      </c>
    </row>
    <row r="15" spans="1:4" x14ac:dyDescent="0.25">
      <c r="A15" s="8" t="s">
        <v>65</v>
      </c>
      <c r="B15" s="22">
        <v>1999</v>
      </c>
      <c r="C15" s="8" t="s">
        <v>61</v>
      </c>
      <c r="D15" s="3" t="s">
        <v>66</v>
      </c>
    </row>
    <row r="16" spans="1:4" x14ac:dyDescent="0.25">
      <c r="A16" s="8" t="s">
        <v>67</v>
      </c>
      <c r="B16" s="23">
        <f>B13+B14-B15</f>
        <v>9015</v>
      </c>
      <c r="C16" s="8" t="s">
        <v>61</v>
      </c>
      <c r="D16" s="3" t="s">
        <v>68</v>
      </c>
    </row>
    <row r="17" spans="1:4" x14ac:dyDescent="0.25">
      <c r="A17" s="8" t="s">
        <v>69</v>
      </c>
      <c r="B17" s="22">
        <v>6959</v>
      </c>
      <c r="C17" s="8" t="s">
        <v>61</v>
      </c>
      <c r="D17" s="3" t="s">
        <v>70</v>
      </c>
    </row>
    <row r="19" spans="1:4" x14ac:dyDescent="0.25">
      <c r="A19" s="4" t="s">
        <v>71</v>
      </c>
      <c r="B19" s="5"/>
      <c r="C19" s="5"/>
      <c r="D19" s="5"/>
    </row>
    <row r="20" spans="1:4" x14ac:dyDescent="0.25">
      <c r="A20" s="8" t="s">
        <v>72</v>
      </c>
      <c r="B20" s="24">
        <v>5.28E-2</v>
      </c>
      <c r="C20" s="8" t="s">
        <v>73</v>
      </c>
      <c r="D20" s="3" t="s">
        <v>74</v>
      </c>
    </row>
    <row r="21" spans="1:4" x14ac:dyDescent="0.25">
      <c r="A21" s="8" t="s">
        <v>75</v>
      </c>
      <c r="B21" s="24">
        <v>4.2299999999999997E-2</v>
      </c>
      <c r="C21" s="8" t="s">
        <v>73</v>
      </c>
      <c r="D21" s="3" t="s">
        <v>76</v>
      </c>
    </row>
    <row r="22" spans="1:4" x14ac:dyDescent="0.25">
      <c r="A22" s="8" t="s">
        <v>77</v>
      </c>
      <c r="B22" s="25">
        <v>1.24</v>
      </c>
      <c r="C22" s="8"/>
      <c r="D22" s="3" t="s">
        <v>78</v>
      </c>
    </row>
    <row r="23" spans="1:4" x14ac:dyDescent="0.25">
      <c r="A23" s="8" t="s">
        <v>79</v>
      </c>
      <c r="B23" s="26">
        <v>4.7600000000000003E-2</v>
      </c>
      <c r="C23" s="8" t="s">
        <v>73</v>
      </c>
      <c r="D23" s="3" t="s">
        <v>80</v>
      </c>
    </row>
    <row r="24" spans="1:4" x14ac:dyDescent="0.25">
      <c r="A24" s="8" t="s">
        <v>81</v>
      </c>
      <c r="B24" s="22">
        <v>2476</v>
      </c>
      <c r="C24" s="8" t="s">
        <v>61</v>
      </c>
      <c r="D24" s="3" t="s">
        <v>82</v>
      </c>
    </row>
    <row r="25" spans="1:4" x14ac:dyDescent="0.25">
      <c r="A25" s="8" t="s">
        <v>83</v>
      </c>
      <c r="B25" s="26">
        <v>0.21</v>
      </c>
      <c r="C25" s="8" t="s">
        <v>73</v>
      </c>
      <c r="D25" s="3" t="s">
        <v>84</v>
      </c>
    </row>
    <row r="27" spans="1:4" x14ac:dyDescent="0.25">
      <c r="A27" s="4" t="s">
        <v>85</v>
      </c>
      <c r="B27" s="5"/>
      <c r="C27" s="5"/>
      <c r="D27" s="5"/>
    </row>
    <row r="28" spans="1:4" x14ac:dyDescent="0.25">
      <c r="A28" s="8" t="s">
        <v>86</v>
      </c>
      <c r="B28" s="26">
        <v>0.15</v>
      </c>
      <c r="C28" s="8" t="s">
        <v>73</v>
      </c>
      <c r="D28" s="3" t="s">
        <v>87</v>
      </c>
    </row>
    <row r="29" spans="1:4" x14ac:dyDescent="0.25">
      <c r="A29" s="8" t="s">
        <v>88</v>
      </c>
      <c r="B29" s="27">
        <f>(B7-B12)/365</f>
        <v>0.75342465753424659</v>
      </c>
      <c r="C29" s="8" t="s">
        <v>89</v>
      </c>
      <c r="D29" s="3"/>
    </row>
    <row r="30" spans="1:4" x14ac:dyDescent="0.25">
      <c r="A30" s="8" t="s">
        <v>90</v>
      </c>
      <c r="B30" s="28">
        <v>135</v>
      </c>
      <c r="C30" s="8" t="s">
        <v>50</v>
      </c>
      <c r="D30" s="3" t="s">
        <v>91</v>
      </c>
    </row>
    <row r="31" spans="1:4" x14ac:dyDescent="0.25">
      <c r="A31" s="8" t="s">
        <v>92</v>
      </c>
      <c r="B31" s="28">
        <v>220</v>
      </c>
      <c r="C31" s="8" t="s">
        <v>50</v>
      </c>
      <c r="D31" s="3" t="s">
        <v>64</v>
      </c>
    </row>
    <row r="32" spans="1:4" x14ac:dyDescent="0.25">
      <c r="A32" s="8" t="s">
        <v>93</v>
      </c>
      <c r="B32" s="28">
        <v>110.81</v>
      </c>
      <c r="C32" s="8" t="s">
        <v>50</v>
      </c>
      <c r="D32" s="3" t="s">
        <v>94</v>
      </c>
    </row>
    <row r="33" spans="1:4" x14ac:dyDescent="0.25">
      <c r="A33" s="8" t="s">
        <v>95</v>
      </c>
      <c r="B33" s="28">
        <v>193.45</v>
      </c>
      <c r="C33" s="8" t="s">
        <v>50</v>
      </c>
      <c r="D33" s="3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7"/>
  <sheetViews>
    <sheetView showGridLines="0" topLeftCell="A40" workbookViewId="0">
      <selection activeCell="B43" sqref="B43"/>
    </sheetView>
  </sheetViews>
  <sheetFormatPr defaultRowHeight="15" x14ac:dyDescent="0.25"/>
  <cols>
    <col min="1" max="1" width="46" customWidth="1"/>
    <col min="2" max="7" width="10" customWidth="1"/>
    <col min="8" max="8" width="72" customWidth="1"/>
  </cols>
  <sheetData>
    <row r="1" spans="1:8" ht="20.25" x14ac:dyDescent="0.3">
      <c r="A1" s="1" t="s">
        <v>96</v>
      </c>
    </row>
    <row r="2" spans="1:8" x14ac:dyDescent="0.25">
      <c r="A2" s="3" t="s">
        <v>97</v>
      </c>
    </row>
    <row r="4" spans="1:8" x14ac:dyDescent="0.25">
      <c r="A4" s="17" t="s">
        <v>98</v>
      </c>
      <c r="B4" s="18" t="s">
        <v>99</v>
      </c>
      <c r="C4" s="18" t="s">
        <v>100</v>
      </c>
      <c r="D4" s="18" t="s">
        <v>101</v>
      </c>
      <c r="E4" s="18" t="s">
        <v>102</v>
      </c>
      <c r="F4" s="18" t="s">
        <v>103</v>
      </c>
      <c r="G4" s="18" t="s">
        <v>104</v>
      </c>
      <c r="H4" s="18" t="s">
        <v>105</v>
      </c>
    </row>
    <row r="5" spans="1:8" x14ac:dyDescent="0.25">
      <c r="A5" s="4" t="s">
        <v>106</v>
      </c>
      <c r="B5" s="5"/>
      <c r="C5" s="5"/>
      <c r="D5" s="5"/>
      <c r="E5" s="5"/>
      <c r="F5" s="5"/>
      <c r="G5" s="5"/>
      <c r="H5" s="5"/>
    </row>
    <row r="6" spans="1:8" x14ac:dyDescent="0.25">
      <c r="A6" s="6" t="s">
        <v>107</v>
      </c>
      <c r="B6" s="29">
        <v>8399</v>
      </c>
      <c r="C6" s="29">
        <v>9917</v>
      </c>
      <c r="D6" s="29">
        <v>11102</v>
      </c>
      <c r="E6" s="29">
        <v>12241</v>
      </c>
      <c r="F6" s="29">
        <v>5368</v>
      </c>
      <c r="G6" s="29">
        <v>6286</v>
      </c>
      <c r="H6" s="3" t="s">
        <v>108</v>
      </c>
    </row>
    <row r="7" spans="1:8" x14ac:dyDescent="0.25">
      <c r="A7" s="8" t="s">
        <v>109</v>
      </c>
      <c r="B7" s="22">
        <v>1499</v>
      </c>
      <c r="C7" s="22">
        <v>1703</v>
      </c>
      <c r="D7" s="22">
        <v>1878</v>
      </c>
      <c r="E7" s="22">
        <v>2086</v>
      </c>
      <c r="F7" s="22">
        <v>1050</v>
      </c>
      <c r="G7" s="22">
        <v>1214</v>
      </c>
      <c r="H7" s="3" t="s">
        <v>108</v>
      </c>
    </row>
    <row r="8" spans="1:8" x14ac:dyDescent="0.25">
      <c r="A8" s="8" t="s">
        <v>110</v>
      </c>
      <c r="B8" s="22">
        <v>1041</v>
      </c>
      <c r="C8" s="22">
        <v>1186</v>
      </c>
      <c r="D8" s="22">
        <v>1282</v>
      </c>
      <c r="E8" s="22">
        <v>1327</v>
      </c>
      <c r="F8" s="22">
        <v>635</v>
      </c>
      <c r="G8" s="22">
        <v>687</v>
      </c>
    </row>
    <row r="9" spans="1:8" x14ac:dyDescent="0.25">
      <c r="A9" s="8" t="s">
        <v>111</v>
      </c>
      <c r="B9" s="22">
        <v>1502</v>
      </c>
      <c r="C9" s="22">
        <v>1722</v>
      </c>
      <c r="D9" s="22">
        <v>2056</v>
      </c>
      <c r="E9" s="22">
        <v>2354</v>
      </c>
      <c r="F9" s="22">
        <v>1178</v>
      </c>
      <c r="G9" s="22">
        <v>1310</v>
      </c>
    </row>
    <row r="10" spans="1:8" x14ac:dyDescent="0.25">
      <c r="A10" s="8" t="s">
        <v>112</v>
      </c>
      <c r="B10" s="22">
        <v>1516</v>
      </c>
      <c r="C10" s="22">
        <v>1763</v>
      </c>
      <c r="D10" s="22">
        <v>2148</v>
      </c>
      <c r="E10" s="22">
        <v>2588</v>
      </c>
      <c r="F10" s="22">
        <v>1254</v>
      </c>
      <c r="G10" s="22">
        <v>1626</v>
      </c>
    </row>
    <row r="11" spans="1:8" x14ac:dyDescent="0.25">
      <c r="A11" s="8" t="s">
        <v>113</v>
      </c>
      <c r="B11" s="22">
        <v>950</v>
      </c>
      <c r="C11" s="22">
        <v>2025</v>
      </c>
      <c r="D11" s="22">
        <v>1185</v>
      </c>
      <c r="E11" s="22">
        <v>1342</v>
      </c>
      <c r="F11" s="22">
        <v>601</v>
      </c>
      <c r="G11" s="22">
        <v>605</v>
      </c>
      <c r="H11" s="3" t="s">
        <v>114</v>
      </c>
    </row>
    <row r="12" spans="1:8" x14ac:dyDescent="0.25">
      <c r="A12" s="8" t="s">
        <v>115</v>
      </c>
      <c r="B12" s="22">
        <v>89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</row>
    <row r="13" spans="1:8" x14ac:dyDescent="0.25">
      <c r="A13" s="30" t="s">
        <v>116</v>
      </c>
      <c r="B13" s="31">
        <f t="shared" ref="B13:G13" si="0">B6-SUM(B7:B12)</f>
        <v>1802</v>
      </c>
      <c r="C13" s="31">
        <f t="shared" si="0"/>
        <v>1518</v>
      </c>
      <c r="D13" s="31">
        <f t="shared" si="0"/>
        <v>2553</v>
      </c>
      <c r="E13" s="31">
        <f t="shared" si="0"/>
        <v>2544</v>
      </c>
      <c r="F13" s="31">
        <f t="shared" si="0"/>
        <v>650</v>
      </c>
      <c r="G13" s="31">
        <f t="shared" si="0"/>
        <v>844</v>
      </c>
      <c r="H13" s="3" t="s">
        <v>117</v>
      </c>
    </row>
    <row r="14" spans="1:8" x14ac:dyDescent="0.25">
      <c r="A14" s="8" t="s">
        <v>118</v>
      </c>
      <c r="B14" s="22">
        <v>186</v>
      </c>
      <c r="C14" s="22">
        <v>721</v>
      </c>
      <c r="D14" s="22">
        <v>818</v>
      </c>
      <c r="E14" s="22">
        <v>705</v>
      </c>
      <c r="F14" s="22">
        <v>363</v>
      </c>
      <c r="G14" s="22">
        <v>338</v>
      </c>
      <c r="H14" s="3" t="s">
        <v>108</v>
      </c>
    </row>
    <row r="15" spans="1:8" x14ac:dyDescent="0.25">
      <c r="A15" s="8" t="s">
        <v>119</v>
      </c>
      <c r="B15" s="22">
        <v>1</v>
      </c>
      <c r="C15" s="22">
        <v>-137</v>
      </c>
      <c r="D15" s="22">
        <v>-40</v>
      </c>
      <c r="E15" s="22">
        <v>-112</v>
      </c>
      <c r="F15" s="22">
        <v>-61</v>
      </c>
      <c r="G15" s="22">
        <v>-4</v>
      </c>
      <c r="H15" s="3" t="s">
        <v>120</v>
      </c>
    </row>
    <row r="16" spans="1:8" x14ac:dyDescent="0.25">
      <c r="A16" s="32" t="s">
        <v>121</v>
      </c>
      <c r="B16" s="33">
        <f t="shared" ref="B16:G16" si="1">B13+B14+B15</f>
        <v>1989</v>
      </c>
      <c r="C16" s="33">
        <f t="shared" si="1"/>
        <v>2102</v>
      </c>
      <c r="D16" s="33">
        <f t="shared" si="1"/>
        <v>3331</v>
      </c>
      <c r="E16" s="33">
        <f t="shared" si="1"/>
        <v>3137</v>
      </c>
      <c r="F16" s="33">
        <f t="shared" si="1"/>
        <v>952</v>
      </c>
      <c r="G16" s="33">
        <f t="shared" si="1"/>
        <v>1178</v>
      </c>
      <c r="H16" s="3" t="s">
        <v>122</v>
      </c>
    </row>
    <row r="17" spans="1:8" x14ac:dyDescent="0.25">
      <c r="A17" s="8" t="s">
        <v>123</v>
      </c>
      <c r="B17" s="22">
        <v>96</v>
      </c>
      <c r="C17" s="22">
        <v>-2690</v>
      </c>
      <c r="D17" s="22">
        <v>683</v>
      </c>
      <c r="E17" s="22">
        <v>626</v>
      </c>
      <c r="F17" s="22">
        <v>156</v>
      </c>
      <c r="G17" s="22">
        <v>202</v>
      </c>
      <c r="H17" s="3" t="s">
        <v>124</v>
      </c>
    </row>
    <row r="18" spans="1:8" x14ac:dyDescent="0.25">
      <c r="A18" s="30" t="s">
        <v>125</v>
      </c>
      <c r="B18" s="31">
        <f t="shared" ref="B18:G18" si="2">B16-B17</f>
        <v>1893</v>
      </c>
      <c r="C18" s="31">
        <f t="shared" si="2"/>
        <v>4792</v>
      </c>
      <c r="D18" s="31">
        <f t="shared" si="2"/>
        <v>2648</v>
      </c>
      <c r="E18" s="31">
        <f t="shared" si="2"/>
        <v>2511</v>
      </c>
      <c r="F18" s="31">
        <f t="shared" si="2"/>
        <v>796</v>
      </c>
      <c r="G18" s="31">
        <f t="shared" si="2"/>
        <v>976</v>
      </c>
      <c r="H18" s="3" t="s">
        <v>126</v>
      </c>
    </row>
    <row r="20" spans="1:8" x14ac:dyDescent="0.25">
      <c r="A20" s="4" t="s">
        <v>127</v>
      </c>
      <c r="B20" s="5"/>
      <c r="C20" s="5"/>
      <c r="D20" s="5"/>
      <c r="E20" s="5"/>
      <c r="F20" s="5"/>
      <c r="G20" s="5"/>
      <c r="H20" s="5"/>
    </row>
    <row r="21" spans="1:8" x14ac:dyDescent="0.25">
      <c r="A21" s="8" t="s">
        <v>128</v>
      </c>
      <c r="B21" s="22">
        <v>3430</v>
      </c>
      <c r="C21" s="22">
        <v>3884</v>
      </c>
      <c r="D21" s="22">
        <v>4518</v>
      </c>
      <c r="E21" s="22">
        <v>4646</v>
      </c>
      <c r="F21" s="22">
        <v>2764</v>
      </c>
      <c r="G21" s="22">
        <v>2978</v>
      </c>
      <c r="H21" s="3" t="s">
        <v>108</v>
      </c>
    </row>
    <row r="22" spans="1:8" x14ac:dyDescent="0.25">
      <c r="A22" s="6" t="s">
        <v>129</v>
      </c>
      <c r="B22" s="29">
        <v>3405</v>
      </c>
      <c r="C22" s="29">
        <v>3837</v>
      </c>
      <c r="D22" s="29">
        <v>4484</v>
      </c>
      <c r="E22" s="29">
        <v>4613</v>
      </c>
      <c r="F22" s="29">
        <v>2743</v>
      </c>
      <c r="G22" s="29">
        <v>2957</v>
      </c>
      <c r="H22" s="3" t="s">
        <v>130</v>
      </c>
    </row>
    <row r="23" spans="1:8" x14ac:dyDescent="0.25">
      <c r="A23" s="8" t="s">
        <v>131</v>
      </c>
      <c r="B23" s="23">
        <f t="shared" ref="B23:G23" si="3">B21-B22</f>
        <v>25</v>
      </c>
      <c r="C23" s="23">
        <f t="shared" si="3"/>
        <v>47</v>
      </c>
      <c r="D23" s="23">
        <f t="shared" si="3"/>
        <v>34</v>
      </c>
      <c r="E23" s="23">
        <f t="shared" si="3"/>
        <v>33</v>
      </c>
      <c r="F23" s="23">
        <f t="shared" si="3"/>
        <v>21</v>
      </c>
      <c r="G23" s="23">
        <f t="shared" si="3"/>
        <v>21</v>
      </c>
      <c r="H23" s="3" t="s">
        <v>132</v>
      </c>
    </row>
    <row r="24" spans="1:8" x14ac:dyDescent="0.25">
      <c r="A24" s="8" t="s">
        <v>133</v>
      </c>
      <c r="B24" s="22">
        <v>930</v>
      </c>
      <c r="C24" s="22">
        <v>1120</v>
      </c>
      <c r="D24" s="22">
        <v>1407</v>
      </c>
      <c r="E24" s="22">
        <v>1592</v>
      </c>
      <c r="F24" s="22">
        <v>782</v>
      </c>
      <c r="G24" s="22">
        <v>897</v>
      </c>
      <c r="H24" s="3" t="s">
        <v>134</v>
      </c>
    </row>
    <row r="25" spans="1:8" x14ac:dyDescent="0.25">
      <c r="A25" s="8" t="s">
        <v>135</v>
      </c>
      <c r="B25" s="22">
        <v>1500</v>
      </c>
      <c r="C25" s="22">
        <v>2252</v>
      </c>
      <c r="D25" s="22">
        <v>3430</v>
      </c>
      <c r="E25" s="22">
        <v>3789</v>
      </c>
      <c r="F25" s="22">
        <v>1817</v>
      </c>
      <c r="G25" s="22">
        <v>2139</v>
      </c>
      <c r="H25" s="3" t="s">
        <v>108</v>
      </c>
    </row>
    <row r="26" spans="1:8" x14ac:dyDescent="0.25">
      <c r="A26" s="8" t="s">
        <v>136</v>
      </c>
      <c r="B26" s="34">
        <v>680</v>
      </c>
      <c r="C26" s="34">
        <v>662</v>
      </c>
      <c r="D26" s="34">
        <v>645</v>
      </c>
      <c r="E26" s="34">
        <v>623</v>
      </c>
      <c r="F26" s="34">
        <v>629</v>
      </c>
      <c r="G26" s="34">
        <v>602</v>
      </c>
      <c r="H26" s="3" t="s">
        <v>137</v>
      </c>
    </row>
    <row r="28" spans="1:8" x14ac:dyDescent="0.25">
      <c r="A28" s="4" t="s">
        <v>138</v>
      </c>
      <c r="B28" s="5"/>
      <c r="C28" s="5"/>
      <c r="D28" s="5"/>
      <c r="E28" s="5"/>
      <c r="F28" s="5"/>
      <c r="G28" s="5"/>
      <c r="H28" s="5"/>
    </row>
    <row r="29" spans="1:8" x14ac:dyDescent="0.25">
      <c r="A29" s="8" t="s">
        <v>139</v>
      </c>
      <c r="B29" s="34">
        <v>393.7</v>
      </c>
      <c r="C29" s="34">
        <v>448.2</v>
      </c>
      <c r="D29" s="34">
        <v>491.5</v>
      </c>
      <c r="E29" s="34">
        <v>533</v>
      </c>
      <c r="F29" s="34">
        <v>277.5</v>
      </c>
      <c r="G29" s="34">
        <v>304.5</v>
      </c>
      <c r="H29" s="3" t="s">
        <v>108</v>
      </c>
    </row>
    <row r="30" spans="1:8" x14ac:dyDescent="0.25">
      <c r="A30" s="8" t="s">
        <v>140</v>
      </c>
      <c r="B30" s="34">
        <v>63.2</v>
      </c>
      <c r="C30" s="34">
        <v>73.3</v>
      </c>
      <c r="D30" s="34">
        <v>81.8</v>
      </c>
      <c r="E30" s="34">
        <v>91.3</v>
      </c>
      <c r="F30" s="34">
        <v>48</v>
      </c>
      <c r="G30" s="34">
        <v>56.4</v>
      </c>
      <c r="H30" s="3" t="s">
        <v>108</v>
      </c>
    </row>
    <row r="31" spans="1:8" x14ac:dyDescent="0.25">
      <c r="A31" s="8" t="s">
        <v>141</v>
      </c>
      <c r="B31" s="35">
        <f t="shared" ref="B31:G31" si="4">B30*1000/B29</f>
        <v>160.52832105664211</v>
      </c>
      <c r="C31" s="35">
        <f t="shared" si="4"/>
        <v>163.54306113342258</v>
      </c>
      <c r="D31" s="35">
        <f t="shared" si="4"/>
        <v>166.42929806714142</v>
      </c>
      <c r="E31" s="35">
        <f t="shared" si="4"/>
        <v>171.29455909943715</v>
      </c>
      <c r="F31" s="35">
        <f t="shared" si="4"/>
        <v>172.97297297297297</v>
      </c>
      <c r="G31" s="35">
        <f t="shared" si="4"/>
        <v>185.22167487684729</v>
      </c>
      <c r="H31" s="3" t="s">
        <v>132</v>
      </c>
    </row>
    <row r="33" spans="1:8" x14ac:dyDescent="0.25">
      <c r="A33" s="4" t="s">
        <v>142</v>
      </c>
      <c r="B33" s="5"/>
      <c r="C33" s="5"/>
      <c r="D33" s="5"/>
      <c r="E33" s="5"/>
      <c r="F33" s="5"/>
      <c r="G33" s="5"/>
      <c r="H33" s="5"/>
    </row>
    <row r="34" spans="1:8" x14ac:dyDescent="0.25">
      <c r="A34" s="8" t="s">
        <v>143</v>
      </c>
      <c r="B34" s="36">
        <f>B6/B61-1</f>
        <v>0.401702269692924</v>
      </c>
      <c r="C34" s="36">
        <f>C6/B6-1</f>
        <v>0.18073580188117644</v>
      </c>
      <c r="D34" s="36">
        <f>D6/C6-1</f>
        <v>0.11949178178884745</v>
      </c>
      <c r="E34" s="36">
        <f>E6/D6-1</f>
        <v>0.10259412718429117</v>
      </c>
      <c r="F34" s="36">
        <f>F6/F61-1</f>
        <v>9.7750511247443717E-2</v>
      </c>
      <c r="G34" s="36">
        <f>G6/F6-1</f>
        <v>0.17101341281669158</v>
      </c>
      <c r="H34" s="3" t="s">
        <v>144</v>
      </c>
    </row>
    <row r="35" spans="1:8" x14ac:dyDescent="0.25">
      <c r="A35" s="8" t="s">
        <v>145</v>
      </c>
      <c r="B35" s="36">
        <f>B29/B62-1</f>
        <v>0.30971390552228861</v>
      </c>
      <c r="C35" s="36">
        <f>C29/B29-1</f>
        <v>0.13843027686055365</v>
      </c>
      <c r="D35" s="36">
        <f>D29/C29-1</f>
        <v>9.6608656849620722E-2</v>
      </c>
      <c r="E35" s="36">
        <f>E29/D29-1</f>
        <v>8.4435401831129298E-2</v>
      </c>
      <c r="F35" s="36">
        <f>F29/F62-1</f>
        <v>7.6833527357392351E-2</v>
      </c>
      <c r="G35" s="36">
        <f>G29/F29-1</f>
        <v>9.7297297297297192E-2</v>
      </c>
    </row>
    <row r="36" spans="1:8" x14ac:dyDescent="0.25">
      <c r="A36" s="8" t="s">
        <v>146</v>
      </c>
      <c r="B36" s="36">
        <f>B31/B64-1</f>
        <v>2.888727739075958E-2</v>
      </c>
      <c r="C36" s="36">
        <f>C31/B31-1</f>
        <v>1.8780113421336564E-2</v>
      </c>
      <c r="D36" s="36">
        <f>D31/C31-1</f>
        <v>1.7648177267295839E-2</v>
      </c>
      <c r="E36" s="36">
        <f>E31/D31-1</f>
        <v>2.9233200456886932E-2</v>
      </c>
      <c r="F36" s="36">
        <f>F31/F64-1</f>
        <v>1.0774039345467834E-2</v>
      </c>
      <c r="G36" s="36">
        <f>G31/F31-1</f>
        <v>7.0812807881773354E-2</v>
      </c>
    </row>
    <row r="37" spans="1:8" x14ac:dyDescent="0.25">
      <c r="A37" s="8" t="s">
        <v>147</v>
      </c>
      <c r="B37" s="36">
        <f>B6/(B30*1000)</f>
        <v>0.13289556962025317</v>
      </c>
      <c r="C37" s="36">
        <f>C6/(C30*1000)</f>
        <v>0.13529331514324694</v>
      </c>
      <c r="D37" s="36">
        <f>D6/(D30*1000)</f>
        <v>0.13572127139364304</v>
      </c>
      <c r="E37" s="36">
        <f>E6/(E30*1000)</f>
        <v>0.13407447973713035</v>
      </c>
      <c r="F37" s="37" t="s">
        <v>148</v>
      </c>
      <c r="G37" s="37" t="s">
        <v>148</v>
      </c>
      <c r="H37" s="3" t="s">
        <v>149</v>
      </c>
    </row>
    <row r="38" spans="1:8" x14ac:dyDescent="0.25">
      <c r="A38" s="8" t="s">
        <v>150</v>
      </c>
      <c r="B38" s="36">
        <f t="shared" ref="B38:G38" si="5">1-B7/B6</f>
        <v>0.82152637218716518</v>
      </c>
      <c r="C38" s="36">
        <f t="shared" si="5"/>
        <v>0.82827467984269432</v>
      </c>
      <c r="D38" s="36">
        <f t="shared" si="5"/>
        <v>0.83084128985768335</v>
      </c>
      <c r="E38" s="36">
        <f t="shared" si="5"/>
        <v>0.82958908585899849</v>
      </c>
      <c r="F38" s="36">
        <f t="shared" si="5"/>
        <v>0.80439642324888228</v>
      </c>
      <c r="G38" s="36">
        <f t="shared" si="5"/>
        <v>0.8068724148902322</v>
      </c>
    </row>
    <row r="39" spans="1:8" x14ac:dyDescent="0.25">
      <c r="A39" s="8" t="s">
        <v>151</v>
      </c>
      <c r="B39" s="36">
        <f t="shared" ref="B39:G39" si="6">B10/B6</f>
        <v>0.18049767829503513</v>
      </c>
      <c r="C39" s="36">
        <f t="shared" si="6"/>
        <v>0.17777553695674095</v>
      </c>
      <c r="D39" s="36">
        <f t="shared" si="6"/>
        <v>0.19347865249504595</v>
      </c>
      <c r="E39" s="36">
        <f t="shared" si="6"/>
        <v>0.21142063556898946</v>
      </c>
      <c r="F39" s="36">
        <f t="shared" si="6"/>
        <v>0.23360655737704919</v>
      </c>
      <c r="G39" s="36">
        <f t="shared" si="6"/>
        <v>0.25867006045179763</v>
      </c>
    </row>
    <row r="40" spans="1:8" x14ac:dyDescent="0.25">
      <c r="A40" s="8" t="s">
        <v>152</v>
      </c>
      <c r="B40" s="36">
        <f t="shared" ref="B40:G40" si="7">B9/B6</f>
        <v>0.17883081319204666</v>
      </c>
      <c r="C40" s="36">
        <f t="shared" si="7"/>
        <v>0.17364122214379349</v>
      </c>
      <c r="D40" s="36">
        <f t="shared" si="7"/>
        <v>0.18519185732300486</v>
      </c>
      <c r="E40" s="36">
        <f t="shared" si="7"/>
        <v>0.19230455028183971</v>
      </c>
      <c r="F40" s="36">
        <f t="shared" si="7"/>
        <v>0.21944858420268257</v>
      </c>
      <c r="G40" s="36">
        <f t="shared" si="7"/>
        <v>0.20839961819917277</v>
      </c>
    </row>
    <row r="41" spans="1:8" x14ac:dyDescent="0.25">
      <c r="A41" s="8" t="s">
        <v>153</v>
      </c>
      <c r="B41" s="36">
        <f t="shared" ref="B41:G41" si="8">B13/B6</f>
        <v>0.21454935111322776</v>
      </c>
      <c r="C41" s="36">
        <f t="shared" si="8"/>
        <v>0.15307048502571341</v>
      </c>
      <c r="D41" s="36">
        <f t="shared" si="8"/>
        <v>0.2299585660241398</v>
      </c>
      <c r="E41" s="36">
        <f t="shared" si="8"/>
        <v>0.20782615799362797</v>
      </c>
      <c r="F41" s="36">
        <f t="shared" si="8"/>
        <v>0.12108792846497765</v>
      </c>
      <c r="G41" s="36">
        <f t="shared" si="8"/>
        <v>0.13426662424435254</v>
      </c>
    </row>
    <row r="42" spans="1:8" x14ac:dyDescent="0.25">
      <c r="A42" s="8" t="s">
        <v>154</v>
      </c>
      <c r="B42" s="36">
        <f>B13/B6</f>
        <v>0.21454935111322776</v>
      </c>
      <c r="C42" s="36">
        <f>(C13+935)/C6</f>
        <v>0.24735303015024704</v>
      </c>
      <c r="D42" s="36">
        <f>D13/D6</f>
        <v>0.2299585660241398</v>
      </c>
      <c r="E42" s="36">
        <f>E13/E6</f>
        <v>0.20782615799362797</v>
      </c>
      <c r="F42" s="36">
        <f>F13/F6</f>
        <v>0.12108792846497765</v>
      </c>
      <c r="G42" s="36">
        <f>G13/G6</f>
        <v>0.13426662424435254</v>
      </c>
      <c r="H42" s="3" t="s">
        <v>155</v>
      </c>
    </row>
    <row r="43" spans="1:8" x14ac:dyDescent="0.25">
      <c r="A43" s="8" t="s">
        <v>156</v>
      </c>
      <c r="B43" s="36">
        <f t="shared" ref="B43:G43" si="9">B24/B6</f>
        <v>0.11072746755566139</v>
      </c>
      <c r="C43" s="36">
        <f t="shared" si="9"/>
        <v>0.11293738025612585</v>
      </c>
      <c r="D43" s="36">
        <f t="shared" si="9"/>
        <v>0.12673392181588902</v>
      </c>
      <c r="E43" s="36">
        <f t="shared" si="9"/>
        <v>0.13005473409035209</v>
      </c>
      <c r="F43" s="36">
        <f t="shared" si="9"/>
        <v>0.14567809239940388</v>
      </c>
      <c r="G43" s="36">
        <f t="shared" si="9"/>
        <v>0.14269805917912823</v>
      </c>
    </row>
    <row r="44" spans="1:8" x14ac:dyDescent="0.25">
      <c r="A44" s="8" t="s">
        <v>157</v>
      </c>
      <c r="B44" s="36">
        <f t="shared" ref="B44:G44" si="10">B22/B6</f>
        <v>0.40540540540540543</v>
      </c>
      <c r="C44" s="36">
        <f t="shared" si="10"/>
        <v>0.38691136432388828</v>
      </c>
      <c r="D44" s="36">
        <f t="shared" si="10"/>
        <v>0.4038911907764367</v>
      </c>
      <c r="E44" s="36">
        <f t="shared" si="10"/>
        <v>0.3768482967077853</v>
      </c>
      <c r="F44" s="36">
        <f t="shared" si="10"/>
        <v>0.51099105812220569</v>
      </c>
      <c r="G44" s="36">
        <f t="shared" si="10"/>
        <v>0.47041043588927778</v>
      </c>
    </row>
    <row r="45" spans="1:8" x14ac:dyDescent="0.25">
      <c r="A45" s="8" t="s">
        <v>158</v>
      </c>
      <c r="B45" s="36">
        <f t="shared" ref="B45:G45" si="11">(B22-B24)/B6</f>
        <v>0.294677937849744</v>
      </c>
      <c r="C45" s="36">
        <f t="shared" si="11"/>
        <v>0.27397398406776241</v>
      </c>
      <c r="D45" s="36">
        <f t="shared" si="11"/>
        <v>0.27715726896054765</v>
      </c>
      <c r="E45" s="36">
        <f t="shared" si="11"/>
        <v>0.24679356261743321</v>
      </c>
      <c r="F45" s="36">
        <f t="shared" si="11"/>
        <v>0.36531296572280181</v>
      </c>
      <c r="G45" s="36">
        <f t="shared" si="11"/>
        <v>0.32771237671014952</v>
      </c>
    </row>
    <row r="46" spans="1:8" x14ac:dyDescent="0.25">
      <c r="A46" s="8" t="s">
        <v>159</v>
      </c>
      <c r="B46" s="38">
        <f t="shared" ref="B46:G46" si="12">B25/B24</f>
        <v>1.6129032258064515</v>
      </c>
      <c r="C46" s="38">
        <f t="shared" si="12"/>
        <v>2.0107142857142857</v>
      </c>
      <c r="D46" s="38">
        <f t="shared" si="12"/>
        <v>2.4378109452736316</v>
      </c>
      <c r="E46" s="38">
        <f t="shared" si="12"/>
        <v>2.3800251256281406</v>
      </c>
      <c r="F46" s="38">
        <f t="shared" si="12"/>
        <v>2.3235294117647061</v>
      </c>
      <c r="G46" s="38">
        <f t="shared" si="12"/>
        <v>2.3846153846153846</v>
      </c>
    </row>
    <row r="47" spans="1:8" x14ac:dyDescent="0.25">
      <c r="A47" s="8" t="s">
        <v>160</v>
      </c>
      <c r="B47" s="37" t="s">
        <v>148</v>
      </c>
      <c r="C47" s="36">
        <f>C26/B26-1</f>
        <v>-2.6470588235294135E-2</v>
      </c>
      <c r="D47" s="36">
        <f>D26/C26-1</f>
        <v>-2.5679758308157052E-2</v>
      </c>
      <c r="E47" s="36">
        <f>E26/D26-1</f>
        <v>-3.4108527131782918E-2</v>
      </c>
      <c r="F47" s="36">
        <f>F26/F65-1</f>
        <v>-3.3794162826420893E-2</v>
      </c>
      <c r="G47" s="36">
        <f>G26/F26-1</f>
        <v>-4.2925278219395846E-2</v>
      </c>
      <c r="H47" s="3" t="s">
        <v>161</v>
      </c>
    </row>
    <row r="48" spans="1:8" x14ac:dyDescent="0.25">
      <c r="A48" s="8" t="s">
        <v>162</v>
      </c>
      <c r="B48" s="36">
        <f t="shared" ref="B48:G48" si="13">(B14+B15)/B16</f>
        <v>9.4017094017094016E-2</v>
      </c>
      <c r="C48" s="36">
        <f t="shared" si="13"/>
        <v>0.27783063748810655</v>
      </c>
      <c r="D48" s="36">
        <f t="shared" si="13"/>
        <v>0.23356349444611227</v>
      </c>
      <c r="E48" s="36">
        <f t="shared" si="13"/>
        <v>0.18903410902135798</v>
      </c>
      <c r="F48" s="36">
        <f t="shared" si="13"/>
        <v>0.3172268907563025</v>
      </c>
      <c r="G48" s="36">
        <f t="shared" si="13"/>
        <v>0.28353140916808151</v>
      </c>
      <c r="H48" s="3" t="s">
        <v>163</v>
      </c>
    </row>
    <row r="50" spans="1:8" x14ac:dyDescent="0.25">
      <c r="A50" s="4" t="s">
        <v>164</v>
      </c>
      <c r="B50" s="5"/>
      <c r="C50" s="5"/>
      <c r="D50" s="5"/>
      <c r="E50" s="5"/>
      <c r="F50" s="5"/>
      <c r="G50" s="5"/>
      <c r="H50" s="5"/>
    </row>
    <row r="51" spans="1:8" x14ac:dyDescent="0.25">
      <c r="A51" s="8" t="s">
        <v>60</v>
      </c>
      <c r="B51" s="22">
        <v>7378</v>
      </c>
      <c r="C51" s="22">
        <v>6874</v>
      </c>
      <c r="D51" s="22">
        <v>6864</v>
      </c>
      <c r="E51" s="22">
        <v>6560</v>
      </c>
      <c r="F51" s="22">
        <v>7402</v>
      </c>
      <c r="G51" s="22">
        <v>6821</v>
      </c>
      <c r="H51" s="3" t="s">
        <v>165</v>
      </c>
    </row>
    <row r="52" spans="1:8" x14ac:dyDescent="0.25">
      <c r="A52" s="8" t="s">
        <v>63</v>
      </c>
      <c r="B52" s="22">
        <v>2244</v>
      </c>
      <c r="C52" s="22">
        <v>3197</v>
      </c>
      <c r="D52" s="22">
        <v>3747</v>
      </c>
      <c r="E52" s="22">
        <v>4454</v>
      </c>
      <c r="F52" s="22">
        <v>3954</v>
      </c>
      <c r="G52" s="22">
        <v>5248</v>
      </c>
    </row>
    <row r="53" spans="1:8" x14ac:dyDescent="0.25">
      <c r="A53" s="8" t="s">
        <v>166</v>
      </c>
      <c r="B53" s="22">
        <v>4783</v>
      </c>
      <c r="C53" s="22">
        <v>5869</v>
      </c>
      <c r="D53" s="22">
        <v>5931</v>
      </c>
      <c r="E53" s="22">
        <v>6959</v>
      </c>
      <c r="F53" s="22">
        <v>11067</v>
      </c>
      <c r="G53" s="22">
        <v>12224</v>
      </c>
      <c r="H53" s="3" t="s">
        <v>167</v>
      </c>
    </row>
    <row r="54" spans="1:8" x14ac:dyDescent="0.25">
      <c r="A54" s="8" t="s">
        <v>168</v>
      </c>
      <c r="B54" s="22">
        <v>1182</v>
      </c>
      <c r="C54" s="22">
        <v>1427</v>
      </c>
      <c r="D54" s="22">
        <v>1616</v>
      </c>
      <c r="E54" s="22">
        <v>1743</v>
      </c>
      <c r="F54" s="22">
        <v>2857</v>
      </c>
      <c r="G54" s="22">
        <v>2831</v>
      </c>
      <c r="H54" s="3" t="s">
        <v>169</v>
      </c>
    </row>
    <row r="55" spans="1:8" x14ac:dyDescent="0.25">
      <c r="A55" s="8" t="s">
        <v>170</v>
      </c>
      <c r="B55" s="22">
        <v>1987</v>
      </c>
      <c r="C55" s="22">
        <v>1991</v>
      </c>
      <c r="D55" s="22">
        <v>1995</v>
      </c>
      <c r="E55" s="22">
        <v>1999</v>
      </c>
      <c r="F55" s="22">
        <v>1997</v>
      </c>
      <c r="G55" s="22">
        <v>2476</v>
      </c>
      <c r="H55" s="3" t="s">
        <v>171</v>
      </c>
    </row>
    <row r="56" spans="1:8" x14ac:dyDescent="0.25">
      <c r="A56" s="8" t="s">
        <v>172</v>
      </c>
      <c r="B56" s="22">
        <v>5560</v>
      </c>
      <c r="C56" s="22">
        <v>8165</v>
      </c>
      <c r="D56" s="22">
        <v>8412</v>
      </c>
      <c r="E56" s="22">
        <v>8199</v>
      </c>
      <c r="F56" s="22">
        <v>7782</v>
      </c>
      <c r="G56" s="22">
        <v>7799</v>
      </c>
    </row>
    <row r="57" spans="1:8" x14ac:dyDescent="0.25">
      <c r="A57" s="30" t="s">
        <v>173</v>
      </c>
      <c r="B57" s="31">
        <f t="shared" ref="B57:G57" si="14">B51+B52-B55</f>
        <v>7635</v>
      </c>
      <c r="C57" s="31">
        <f t="shared" si="14"/>
        <v>8080</v>
      </c>
      <c r="D57" s="31">
        <f t="shared" si="14"/>
        <v>8616</v>
      </c>
      <c r="E57" s="31">
        <f t="shared" si="14"/>
        <v>9015</v>
      </c>
      <c r="F57" s="31">
        <f t="shared" si="14"/>
        <v>9359</v>
      </c>
      <c r="G57" s="31">
        <f t="shared" si="14"/>
        <v>9593</v>
      </c>
    </row>
    <row r="59" spans="1:8" x14ac:dyDescent="0.25">
      <c r="A59" s="4" t="s">
        <v>174</v>
      </c>
      <c r="B59" s="5"/>
      <c r="C59" s="5"/>
      <c r="D59" s="5"/>
      <c r="E59" s="5"/>
      <c r="F59" s="5"/>
      <c r="G59" s="5"/>
      <c r="H59" s="5"/>
    </row>
    <row r="60" spans="1:8" x14ac:dyDescent="0.25">
      <c r="A60" s="6" t="s">
        <v>175</v>
      </c>
      <c r="B60" s="39" t="s">
        <v>176</v>
      </c>
      <c r="C60" s="39"/>
      <c r="D60" s="39"/>
      <c r="E60" s="39"/>
      <c r="F60" s="39" t="s">
        <v>177</v>
      </c>
      <c r="G60" s="39"/>
    </row>
    <row r="61" spans="1:8" x14ac:dyDescent="0.25">
      <c r="A61" s="8" t="s">
        <v>107</v>
      </c>
      <c r="B61" s="22">
        <v>5992</v>
      </c>
      <c r="F61" s="22">
        <v>4890</v>
      </c>
      <c r="H61" s="3" t="s">
        <v>178</v>
      </c>
    </row>
    <row r="62" spans="1:8" x14ac:dyDescent="0.25">
      <c r="A62" s="8" t="s">
        <v>179</v>
      </c>
      <c r="B62" s="34">
        <v>300.60000000000002</v>
      </c>
      <c r="F62" s="34">
        <v>257.7</v>
      </c>
      <c r="H62" s="3" t="s">
        <v>64</v>
      </c>
    </row>
    <row r="63" spans="1:8" x14ac:dyDescent="0.25">
      <c r="A63" s="8" t="s">
        <v>140</v>
      </c>
      <c r="B63" s="34">
        <v>46.9</v>
      </c>
      <c r="F63" s="34">
        <v>44.1</v>
      </c>
      <c r="H63" s="3" t="s">
        <v>64</v>
      </c>
    </row>
    <row r="64" spans="1:8" x14ac:dyDescent="0.25">
      <c r="A64" s="8" t="s">
        <v>180</v>
      </c>
      <c r="B64" s="35">
        <f>B63*1000/B62</f>
        <v>156.02129075182967</v>
      </c>
      <c r="F64" s="35">
        <f>F63*1000/F62</f>
        <v>171.1292200232829</v>
      </c>
      <c r="H64" s="3" t="s">
        <v>132</v>
      </c>
    </row>
    <row r="65" spans="1:8" x14ac:dyDescent="0.25">
      <c r="A65" s="8" t="s">
        <v>136</v>
      </c>
      <c r="B65" s="34">
        <v>616</v>
      </c>
      <c r="F65" s="34">
        <v>651</v>
      </c>
      <c r="H65" s="3" t="s">
        <v>181</v>
      </c>
    </row>
    <row r="67" spans="1:8" x14ac:dyDescent="0.25">
      <c r="A67" s="3" t="s">
        <v>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showGridLines="0" workbookViewId="0"/>
  </sheetViews>
  <sheetFormatPr defaultRowHeight="15" x14ac:dyDescent="0.25"/>
  <cols>
    <col min="1" max="1" width="34" customWidth="1"/>
    <col min="2" max="2" width="12" customWidth="1"/>
    <col min="3" max="3" width="62" customWidth="1"/>
  </cols>
  <sheetData>
    <row r="1" spans="1:3" ht="20.25" x14ac:dyDescent="0.3">
      <c r="A1" s="1" t="s">
        <v>183</v>
      </c>
    </row>
    <row r="3" spans="1:3" x14ac:dyDescent="0.25">
      <c r="A3" s="17" t="s">
        <v>184</v>
      </c>
      <c r="B3" s="18" t="s">
        <v>45</v>
      </c>
      <c r="C3" s="18" t="s">
        <v>185</v>
      </c>
    </row>
    <row r="4" spans="1:3" x14ac:dyDescent="0.25">
      <c r="A4" s="8" t="s">
        <v>186</v>
      </c>
      <c r="B4" s="40">
        <f>Inputs!$B$20</f>
        <v>5.28E-2</v>
      </c>
      <c r="C4" s="3"/>
    </row>
    <row r="5" spans="1:3" x14ac:dyDescent="0.25">
      <c r="A5" s="8" t="s">
        <v>187</v>
      </c>
      <c r="B5" s="41">
        <f>Inputs!$B$22</f>
        <v>1.24</v>
      </c>
      <c r="C5" s="3"/>
    </row>
    <row r="6" spans="1:3" x14ac:dyDescent="0.25">
      <c r="A6" s="8" t="s">
        <v>188</v>
      </c>
      <c r="B6" s="27">
        <f>0.67*B5+0.33</f>
        <v>1.1608000000000001</v>
      </c>
      <c r="C6" s="3" t="s">
        <v>189</v>
      </c>
    </row>
    <row r="7" spans="1:3" x14ac:dyDescent="0.25">
      <c r="A7" s="8" t="s">
        <v>75</v>
      </c>
      <c r="B7" s="40">
        <f>Inputs!$B$21</f>
        <v>4.2299999999999997E-2</v>
      </c>
      <c r="C7" s="3"/>
    </row>
    <row r="8" spans="1:3" x14ac:dyDescent="0.25">
      <c r="A8" s="6" t="s">
        <v>190</v>
      </c>
      <c r="B8" s="42">
        <f>B4+B6*B7</f>
        <v>0.10190183999999999</v>
      </c>
      <c r="C8" s="3" t="s">
        <v>191</v>
      </c>
    </row>
    <row r="9" spans="1:3" x14ac:dyDescent="0.25">
      <c r="A9" s="8" t="s">
        <v>79</v>
      </c>
      <c r="B9" s="40">
        <f>Inputs!$B$23</f>
        <v>4.7600000000000003E-2</v>
      </c>
      <c r="C9" s="3"/>
    </row>
    <row r="10" spans="1:3" x14ac:dyDescent="0.25">
      <c r="A10" s="8" t="s">
        <v>83</v>
      </c>
      <c r="B10" s="40">
        <f>Inputs!$B$25</f>
        <v>0.21</v>
      </c>
      <c r="C10" s="3"/>
    </row>
    <row r="11" spans="1:3" x14ac:dyDescent="0.25">
      <c r="A11" s="8" t="s">
        <v>192</v>
      </c>
      <c r="B11" s="36">
        <f>B9*(1-B10)</f>
        <v>3.7604000000000005E-2</v>
      </c>
      <c r="C11" s="3"/>
    </row>
    <row r="12" spans="1:3" x14ac:dyDescent="0.25">
      <c r="A12" s="8" t="s">
        <v>193</v>
      </c>
      <c r="B12" s="23">
        <f>Inputs!$B$6*Inputs!$B$8</f>
        <v>97260.809979999991</v>
      </c>
      <c r="C12" s="3" t="s">
        <v>194</v>
      </c>
    </row>
    <row r="13" spans="1:3" x14ac:dyDescent="0.25">
      <c r="A13" s="8" t="s">
        <v>195</v>
      </c>
      <c r="B13" s="43">
        <f>Inputs!$B$24</f>
        <v>2476</v>
      </c>
      <c r="C13" s="3"/>
    </row>
    <row r="14" spans="1:3" x14ac:dyDescent="0.25">
      <c r="A14" s="8" t="s">
        <v>196</v>
      </c>
      <c r="B14" s="36">
        <f>B13/(B12+B13)</f>
        <v>2.4825337811551291E-2</v>
      </c>
      <c r="C14" s="3" t="s">
        <v>197</v>
      </c>
    </row>
    <row r="15" spans="1:3" x14ac:dyDescent="0.25">
      <c r="A15" s="6" t="s">
        <v>9</v>
      </c>
      <c r="B15" s="44">
        <f>(1-B14)*B8+B14*B11</f>
        <v>0.10030562440144693</v>
      </c>
      <c r="C15" s="3"/>
    </row>
    <row r="18" spans="1:1" x14ac:dyDescent="0.25">
      <c r="A18" s="3" t="s">
        <v>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1"/>
  <sheetViews>
    <sheetView showGridLines="0" workbookViewId="0">
      <pane xSplit="1" ySplit="4" topLeftCell="B44" activePane="bottomRight" state="frozen"/>
      <selection pane="topRight"/>
      <selection pane="bottomLeft"/>
      <selection pane="bottomRight" activeCell="D62" sqref="D62"/>
    </sheetView>
  </sheetViews>
  <sheetFormatPr defaultRowHeight="15" x14ac:dyDescent="0.25"/>
  <cols>
    <col min="1" max="1" width="46" customWidth="1"/>
    <col min="2" max="8" width="10" customWidth="1"/>
    <col min="9" max="9" width="11" customWidth="1"/>
    <col min="10" max="10" width="3" customWidth="1"/>
    <col min="11" max="11" width="80" customWidth="1"/>
  </cols>
  <sheetData>
    <row r="1" spans="1:11" ht="20.25" x14ac:dyDescent="0.3">
      <c r="A1" s="1" t="s">
        <v>199</v>
      </c>
    </row>
    <row r="2" spans="1:11" x14ac:dyDescent="0.25">
      <c r="A2" s="3" t="s">
        <v>200</v>
      </c>
    </row>
    <row r="4" spans="1:11" x14ac:dyDescent="0.25">
      <c r="A4" s="17"/>
      <c r="B4" s="18" t="s">
        <v>201</v>
      </c>
      <c r="C4" s="18" t="s">
        <v>202</v>
      </c>
      <c r="D4" s="18" t="s">
        <v>203</v>
      </c>
      <c r="E4" s="18" t="s">
        <v>204</v>
      </c>
      <c r="F4" s="18" t="s">
        <v>205</v>
      </c>
      <c r="G4" s="18" t="s">
        <v>206</v>
      </c>
      <c r="H4" s="18" t="s">
        <v>207</v>
      </c>
      <c r="I4" s="18" t="s">
        <v>208</v>
      </c>
      <c r="J4" s="18"/>
      <c r="K4" s="18" t="s">
        <v>209</v>
      </c>
    </row>
    <row r="5" spans="1:11" x14ac:dyDescent="0.25">
      <c r="A5" s="4" t="s">
        <v>210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25">
      <c r="A6" s="8" t="s">
        <v>143</v>
      </c>
      <c r="B6" s="40">
        <f>Historicals!D34</f>
        <v>0.11949178178884745</v>
      </c>
      <c r="C6" s="40">
        <f>Historicals!E34</f>
        <v>0.10259412718429117</v>
      </c>
      <c r="D6" s="24">
        <v>0.155</v>
      </c>
      <c r="E6" s="24">
        <v>0.12</v>
      </c>
      <c r="F6" s="24">
        <v>0.11</v>
      </c>
      <c r="G6" s="24">
        <v>0.1</v>
      </c>
      <c r="H6" s="24">
        <v>0.09</v>
      </c>
      <c r="I6" s="24">
        <v>0.03</v>
      </c>
      <c r="K6" s="3" t="s">
        <v>211</v>
      </c>
    </row>
    <row r="7" spans="1:11" x14ac:dyDescent="0.25">
      <c r="A7" s="8" t="s">
        <v>212</v>
      </c>
      <c r="B7" s="40">
        <f>Historicals!D41</f>
        <v>0.2299585660241398</v>
      </c>
      <c r="C7" s="40">
        <f>Historicals!E41</f>
        <v>0.20782615799362797</v>
      </c>
      <c r="D7" s="24">
        <v>0.215</v>
      </c>
      <c r="E7" s="24">
        <v>0.23</v>
      </c>
      <c r="F7" s="24">
        <v>0.25</v>
      </c>
      <c r="G7" s="24">
        <v>0.26500000000000001</v>
      </c>
      <c r="H7" s="24">
        <v>0.27</v>
      </c>
      <c r="I7" s="24">
        <v>0.28000000000000003</v>
      </c>
      <c r="K7" s="3" t="s">
        <v>213</v>
      </c>
    </row>
    <row r="8" spans="1:11" x14ac:dyDescent="0.25">
      <c r="A8" s="8" t="s">
        <v>214</v>
      </c>
      <c r="D8" s="26">
        <v>7.0000000000000001E-3</v>
      </c>
      <c r="E8" s="26">
        <v>7.0000000000000001E-3</v>
      </c>
      <c r="F8" s="26">
        <v>7.0000000000000001E-3</v>
      </c>
      <c r="G8" s="26">
        <v>7.0000000000000001E-3</v>
      </c>
      <c r="H8" s="26">
        <v>7.0000000000000001E-3</v>
      </c>
      <c r="I8" s="26">
        <v>7.0000000000000001E-3</v>
      </c>
      <c r="K8" s="3" t="s">
        <v>215</v>
      </c>
    </row>
    <row r="9" spans="1:11" x14ac:dyDescent="0.25">
      <c r="A9" s="8" t="s">
        <v>216</v>
      </c>
      <c r="D9" s="26">
        <v>4.0000000000000001E-3</v>
      </c>
      <c r="E9" s="26">
        <v>4.0000000000000001E-3</v>
      </c>
      <c r="F9" s="26">
        <v>4.0000000000000001E-3</v>
      </c>
      <c r="G9" s="26">
        <v>4.0000000000000001E-3</v>
      </c>
      <c r="H9" s="26">
        <v>4.0000000000000001E-3</v>
      </c>
      <c r="I9" s="26">
        <v>4.0000000000000001E-3</v>
      </c>
      <c r="K9" s="3" t="s">
        <v>217</v>
      </c>
    </row>
    <row r="10" spans="1:11" x14ac:dyDescent="0.25">
      <c r="A10" s="8" t="s">
        <v>218</v>
      </c>
      <c r="D10" s="26">
        <v>0.12</v>
      </c>
      <c r="E10" s="26">
        <v>0.12</v>
      </c>
      <c r="F10" s="26">
        <v>0.12</v>
      </c>
      <c r="G10" s="26">
        <v>0.12</v>
      </c>
      <c r="H10" s="26">
        <v>0.12</v>
      </c>
      <c r="I10" s="26">
        <v>0.12</v>
      </c>
      <c r="K10" s="3" t="s">
        <v>219</v>
      </c>
    </row>
    <row r="11" spans="1:11" x14ac:dyDescent="0.25">
      <c r="A11" s="8" t="s">
        <v>220</v>
      </c>
      <c r="B11" s="40">
        <f>Historicals!D43</f>
        <v>0.12673392181588902</v>
      </c>
      <c r="C11" s="40">
        <f>Historicals!E43</f>
        <v>0.13005473409035209</v>
      </c>
      <c r="D11" s="26">
        <v>0.125</v>
      </c>
      <c r="E11" s="26">
        <v>0.12</v>
      </c>
      <c r="F11" s="26">
        <v>0.115</v>
      </c>
      <c r="G11" s="26">
        <v>0.11</v>
      </c>
      <c r="H11" s="26">
        <v>0.105</v>
      </c>
      <c r="I11" s="26">
        <v>0.09</v>
      </c>
      <c r="K11" s="3" t="s">
        <v>221</v>
      </c>
    </row>
    <row r="12" spans="1:11" x14ac:dyDescent="0.25">
      <c r="A12" s="6" t="s">
        <v>222</v>
      </c>
      <c r="C12" s="45">
        <v>1</v>
      </c>
      <c r="K12" s="3" t="s">
        <v>223</v>
      </c>
    </row>
    <row r="14" spans="1:11" x14ac:dyDescent="0.25">
      <c r="A14" s="4" t="s">
        <v>129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5">
      <c r="A15" s="6" t="s">
        <v>107</v>
      </c>
      <c r="B15" s="46">
        <f>Historicals!D6</f>
        <v>11102</v>
      </c>
      <c r="C15" s="46">
        <f>Historicals!E6</f>
        <v>12241</v>
      </c>
      <c r="D15" s="47">
        <f t="shared" ref="D15:I15" si="0">C15*(1+D6)</f>
        <v>14138.355</v>
      </c>
      <c r="E15" s="47">
        <f t="shared" si="0"/>
        <v>15834.957600000002</v>
      </c>
      <c r="F15" s="47">
        <f t="shared" si="0"/>
        <v>17576.802936000004</v>
      </c>
      <c r="G15" s="47">
        <f t="shared" si="0"/>
        <v>19334.483229600006</v>
      </c>
      <c r="H15" s="47">
        <f t="shared" si="0"/>
        <v>21074.586720264007</v>
      </c>
      <c r="I15" s="47">
        <f t="shared" si="0"/>
        <v>21706.824321871929</v>
      </c>
    </row>
    <row r="16" spans="1:11" x14ac:dyDescent="0.25">
      <c r="A16" s="8" t="s">
        <v>224</v>
      </c>
      <c r="B16" s="40">
        <f>Historicals!D34</f>
        <v>0.11949178178884745</v>
      </c>
      <c r="C16" s="36">
        <f t="shared" ref="C16:I16" si="1">C15/B15-1</f>
        <v>0.10259412718429117</v>
      </c>
      <c r="D16" s="36">
        <f t="shared" si="1"/>
        <v>0.15500000000000003</v>
      </c>
      <c r="E16" s="36">
        <f t="shared" si="1"/>
        <v>0.12000000000000011</v>
      </c>
      <c r="F16" s="36">
        <f t="shared" si="1"/>
        <v>0.1100000000000001</v>
      </c>
      <c r="G16" s="36">
        <f t="shared" si="1"/>
        <v>0.10000000000000009</v>
      </c>
      <c r="H16" s="36">
        <f t="shared" si="1"/>
        <v>9.000000000000008E-2</v>
      </c>
      <c r="I16" s="36">
        <f t="shared" si="1"/>
        <v>3.0000000000000027E-2</v>
      </c>
    </row>
    <row r="17" spans="1:11" x14ac:dyDescent="0.25">
      <c r="A17" s="8" t="s">
        <v>225</v>
      </c>
      <c r="B17" s="43">
        <f>Historicals!D13</f>
        <v>2553</v>
      </c>
      <c r="C17" s="43">
        <f>Historicals!E13</f>
        <v>2544</v>
      </c>
      <c r="D17" s="23">
        <f t="shared" ref="D17:I17" si="2">D15*D7</f>
        <v>3039.7463250000001</v>
      </c>
      <c r="E17" s="23">
        <f t="shared" si="2"/>
        <v>3642.0402480000007</v>
      </c>
      <c r="F17" s="23">
        <f t="shared" si="2"/>
        <v>4394.2007340000009</v>
      </c>
      <c r="G17" s="23">
        <f t="shared" si="2"/>
        <v>5123.6380558440014</v>
      </c>
      <c r="H17" s="23">
        <f t="shared" si="2"/>
        <v>5690.138414471282</v>
      </c>
      <c r="I17" s="23">
        <f t="shared" si="2"/>
        <v>6077.9108101241409</v>
      </c>
    </row>
    <row r="18" spans="1:11" x14ac:dyDescent="0.25">
      <c r="A18" s="8" t="s">
        <v>226</v>
      </c>
      <c r="B18" s="36">
        <f t="shared" ref="B18:I18" si="3">B17/B15</f>
        <v>0.2299585660241398</v>
      </c>
      <c r="C18" s="36">
        <f t="shared" si="3"/>
        <v>0.20782615799362797</v>
      </c>
      <c r="D18" s="36">
        <f t="shared" si="3"/>
        <v>0.21500000000000002</v>
      </c>
      <c r="E18" s="36">
        <f t="shared" si="3"/>
        <v>0.23</v>
      </c>
      <c r="F18" s="36">
        <f t="shared" si="3"/>
        <v>0.25</v>
      </c>
      <c r="G18" s="36">
        <f t="shared" si="3"/>
        <v>0.26500000000000001</v>
      </c>
      <c r="H18" s="36">
        <f t="shared" si="3"/>
        <v>0.27</v>
      </c>
      <c r="I18" s="36">
        <f t="shared" si="3"/>
        <v>0.28000000000000003</v>
      </c>
    </row>
    <row r="19" spans="1:11" x14ac:dyDescent="0.25">
      <c r="A19" s="8" t="s">
        <v>227</v>
      </c>
      <c r="D19" s="23">
        <f>-D17*Inputs!$B$25</f>
        <v>-638.34672824999996</v>
      </c>
      <c r="E19" s="23">
        <f>-E17*Inputs!$B$25</f>
        <v>-764.82845208000015</v>
      </c>
      <c r="F19" s="23">
        <f>-F17*Inputs!$B$25</f>
        <v>-922.7821541400001</v>
      </c>
      <c r="G19" s="23">
        <f>-G17*Inputs!$B$25</f>
        <v>-1075.9639917272402</v>
      </c>
      <c r="H19" s="23">
        <f>-H17*Inputs!$B$25</f>
        <v>-1194.9290670389692</v>
      </c>
      <c r="I19" s="23">
        <f>-I17*Inputs!$B$25</f>
        <v>-1276.3612701260695</v>
      </c>
    </row>
    <row r="20" spans="1:11" x14ac:dyDescent="0.25">
      <c r="A20" s="32" t="s">
        <v>228</v>
      </c>
      <c r="B20" s="48"/>
      <c r="C20" s="48"/>
      <c r="D20" s="33">
        <f t="shared" ref="D20:I20" si="4">D17+D19</f>
        <v>2401.39959675</v>
      </c>
      <c r="E20" s="33">
        <f t="shared" si="4"/>
        <v>2877.2117959200004</v>
      </c>
      <c r="F20" s="33">
        <f t="shared" si="4"/>
        <v>3471.418579860001</v>
      </c>
      <c r="G20" s="33">
        <f t="shared" si="4"/>
        <v>4047.6740641167612</v>
      </c>
      <c r="H20" s="33">
        <f t="shared" si="4"/>
        <v>4495.2093474323128</v>
      </c>
      <c r="I20" s="33">
        <f t="shared" si="4"/>
        <v>4801.5495399980719</v>
      </c>
    </row>
    <row r="21" spans="1:11" x14ac:dyDescent="0.25">
      <c r="A21" s="8" t="s">
        <v>229</v>
      </c>
      <c r="D21" s="23">
        <f t="shared" ref="D21:I21" si="5">D15*D8</f>
        <v>98.968485000000001</v>
      </c>
      <c r="E21" s="23">
        <f t="shared" si="5"/>
        <v>110.84470320000001</v>
      </c>
      <c r="F21" s="23">
        <f t="shared" si="5"/>
        <v>123.03762055200002</v>
      </c>
      <c r="G21" s="23">
        <f t="shared" si="5"/>
        <v>135.34138260720005</v>
      </c>
      <c r="H21" s="23">
        <f t="shared" si="5"/>
        <v>147.52210704184805</v>
      </c>
      <c r="I21" s="23">
        <f t="shared" si="5"/>
        <v>151.9477702531035</v>
      </c>
    </row>
    <row r="22" spans="1:11" x14ac:dyDescent="0.25">
      <c r="A22" s="8" t="s">
        <v>230</v>
      </c>
      <c r="B22" s="43">
        <f>-Historicals!D23</f>
        <v>-34</v>
      </c>
      <c r="C22" s="43">
        <f>-Historicals!E23</f>
        <v>-33</v>
      </c>
      <c r="D22" s="23">
        <f t="shared" ref="D22:I22" si="6">-D15*D9</f>
        <v>-56.553420000000003</v>
      </c>
      <c r="E22" s="23">
        <f t="shared" si="6"/>
        <v>-63.339830400000011</v>
      </c>
      <c r="F22" s="23">
        <f t="shared" si="6"/>
        <v>-70.307211744000014</v>
      </c>
      <c r="G22" s="23">
        <f t="shared" si="6"/>
        <v>-77.337932918400028</v>
      </c>
      <c r="H22" s="23">
        <f t="shared" si="6"/>
        <v>-84.298346881056034</v>
      </c>
      <c r="I22" s="23">
        <f t="shared" si="6"/>
        <v>-86.827297287487724</v>
      </c>
    </row>
    <row r="23" spans="1:11" x14ac:dyDescent="0.25">
      <c r="A23" s="8" t="s">
        <v>231</v>
      </c>
      <c r="D23" s="23">
        <f t="shared" ref="D23:I23" si="7">(D15-C15)*D10</f>
        <v>227.68259999999995</v>
      </c>
      <c r="E23" s="23">
        <f t="shared" si="7"/>
        <v>203.59231200000022</v>
      </c>
      <c r="F23" s="23">
        <f t="shared" si="7"/>
        <v>209.02144032000024</v>
      </c>
      <c r="G23" s="23">
        <f t="shared" si="7"/>
        <v>210.92163523200026</v>
      </c>
      <c r="H23" s="23">
        <f t="shared" si="7"/>
        <v>208.81241887968019</v>
      </c>
      <c r="I23" s="23">
        <f t="shared" si="7"/>
        <v>75.868512192950575</v>
      </c>
    </row>
    <row r="24" spans="1:11" x14ac:dyDescent="0.25">
      <c r="A24" s="8" t="s">
        <v>232</v>
      </c>
      <c r="D24" s="23">
        <f t="shared" ref="D24:I24" si="8">D15*D11*(1-$C$12)</f>
        <v>0</v>
      </c>
      <c r="E24" s="23">
        <f t="shared" si="8"/>
        <v>0</v>
      </c>
      <c r="F24" s="23">
        <f t="shared" si="8"/>
        <v>0</v>
      </c>
      <c r="G24" s="23">
        <f t="shared" si="8"/>
        <v>0</v>
      </c>
      <c r="H24" s="23">
        <f t="shared" si="8"/>
        <v>0</v>
      </c>
      <c r="I24" s="23">
        <f t="shared" si="8"/>
        <v>0</v>
      </c>
      <c r="K24" s="3" t="s">
        <v>233</v>
      </c>
    </row>
    <row r="25" spans="1:11" x14ac:dyDescent="0.25">
      <c r="A25" s="30" t="s">
        <v>234</v>
      </c>
      <c r="B25" s="49">
        <f>Historicals!D22</f>
        <v>4484</v>
      </c>
      <c r="C25" s="49">
        <f>Historicals!E22</f>
        <v>4613</v>
      </c>
      <c r="D25" s="31">
        <f t="shared" ref="D25:I25" si="9">SUM(D20:D24)</f>
        <v>2671.4972617499998</v>
      </c>
      <c r="E25" s="31">
        <f t="shared" si="9"/>
        <v>3128.3089807200004</v>
      </c>
      <c r="F25" s="31">
        <f t="shared" si="9"/>
        <v>3733.1704289880013</v>
      </c>
      <c r="G25" s="31">
        <f t="shared" si="9"/>
        <v>4316.5991490375609</v>
      </c>
      <c r="H25" s="31">
        <f t="shared" si="9"/>
        <v>4767.2455264727851</v>
      </c>
      <c r="I25" s="31">
        <f t="shared" si="9"/>
        <v>4942.5385251566386</v>
      </c>
      <c r="K25" s="3" t="s">
        <v>235</v>
      </c>
    </row>
    <row r="26" spans="1:11" x14ac:dyDescent="0.25">
      <c r="A26" s="8" t="s">
        <v>236</v>
      </c>
      <c r="B26" s="36">
        <f t="shared" ref="B26:I26" si="10">B25/B15</f>
        <v>0.4038911907764367</v>
      </c>
      <c r="C26" s="36">
        <f t="shared" si="10"/>
        <v>0.3768482967077853</v>
      </c>
      <c r="D26" s="36">
        <f t="shared" si="10"/>
        <v>0.1889538961038961</v>
      </c>
      <c r="E26" s="36">
        <f t="shared" si="10"/>
        <v>0.19755714285714285</v>
      </c>
      <c r="F26" s="36">
        <f t="shared" si="10"/>
        <v>0.21239189189189192</v>
      </c>
      <c r="G26" s="36">
        <f t="shared" si="10"/>
        <v>0.22325909090909088</v>
      </c>
      <c r="H26" s="36">
        <f t="shared" si="10"/>
        <v>0.22620825688073395</v>
      </c>
      <c r="I26" s="36">
        <f t="shared" si="10"/>
        <v>0.22769514563106805</v>
      </c>
      <c r="K26" s="3" t="s">
        <v>237</v>
      </c>
    </row>
    <row r="28" spans="1:11" x14ac:dyDescent="0.25">
      <c r="A28" s="4" t="s">
        <v>238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25">
      <c r="A29" s="8" t="s">
        <v>9</v>
      </c>
      <c r="C29" s="40">
        <f>IF($C$64&gt;0,$C$64,WACC!$B$15)</f>
        <v>0.10030562440144693</v>
      </c>
      <c r="K29" s="3" t="s">
        <v>239</v>
      </c>
    </row>
    <row r="30" spans="1:11" x14ac:dyDescent="0.25">
      <c r="A30" s="8" t="s">
        <v>240</v>
      </c>
      <c r="D30" s="50">
        <v>0.5</v>
      </c>
      <c r="E30" s="50">
        <v>1.5</v>
      </c>
      <c r="F30" s="50">
        <v>2.5</v>
      </c>
      <c r="G30" s="50">
        <v>3.5</v>
      </c>
      <c r="H30" s="50">
        <v>4.5</v>
      </c>
    </row>
    <row r="31" spans="1:11" x14ac:dyDescent="0.25">
      <c r="A31" s="8" t="s">
        <v>241</v>
      </c>
      <c r="D31" s="51">
        <f>1/(1+$C$29)^D30</f>
        <v>0.9533301616433717</v>
      </c>
      <c r="E31" s="51">
        <f>1/(1+$C$29)^E30</f>
        <v>0.86642305601407055</v>
      </c>
      <c r="F31" s="51">
        <f>1/(1+$C$29)^F30</f>
        <v>0.78743854143742498</v>
      </c>
      <c r="G31" s="51">
        <f>1/(1+$C$29)^G30</f>
        <v>0.71565438181394581</v>
      </c>
      <c r="H31" s="51">
        <f>1/(1+$C$29)^H30</f>
        <v>0.65041418124464567</v>
      </c>
    </row>
    <row r="32" spans="1:11" x14ac:dyDescent="0.25">
      <c r="A32" s="8" t="s">
        <v>242</v>
      </c>
      <c r="D32" s="23">
        <f>D25*D31</f>
        <v>2546.8189163739521</v>
      </c>
      <c r="E32" s="23">
        <f>E25*E31</f>
        <v>2710.439027231685</v>
      </c>
      <c r="F32" s="23">
        <f>F25*F31</f>
        <v>2939.6422775396377</v>
      </c>
      <c r="G32" s="23">
        <f>G25*G31</f>
        <v>3089.1930955430803</v>
      </c>
      <c r="H32" s="23">
        <f>H25*H31</f>
        <v>3100.6840958929961</v>
      </c>
    </row>
    <row r="34" spans="1:11" x14ac:dyDescent="0.25">
      <c r="A34" s="4" t="s">
        <v>243</v>
      </c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25">
      <c r="A35" s="8" t="s">
        <v>244</v>
      </c>
      <c r="C35" s="23">
        <f>SUM(D32:H32)</f>
        <v>14386.777412581352</v>
      </c>
    </row>
    <row r="36" spans="1:11" x14ac:dyDescent="0.25">
      <c r="A36" s="8" t="s">
        <v>245</v>
      </c>
      <c r="C36" s="23">
        <f>I25/($C$29-I6)</f>
        <v>70300.755696793422</v>
      </c>
      <c r="D36" s="3" t="s">
        <v>246</v>
      </c>
    </row>
    <row r="37" spans="1:11" x14ac:dyDescent="0.25">
      <c r="A37" s="8" t="s">
        <v>247</v>
      </c>
      <c r="C37" s="23">
        <f>C36/(1+$C$29)^5</f>
        <v>43590.648371782321</v>
      </c>
      <c r="D37" s="3" t="s">
        <v>248</v>
      </c>
    </row>
    <row r="38" spans="1:11" x14ac:dyDescent="0.25">
      <c r="A38" s="6" t="s">
        <v>249</v>
      </c>
      <c r="C38" s="31">
        <f>C35+C37</f>
        <v>57977.425784363673</v>
      </c>
    </row>
    <row r="39" spans="1:11" x14ac:dyDescent="0.25">
      <c r="A39" s="8" t="s">
        <v>250</v>
      </c>
      <c r="C39" s="43">
        <f>Inputs!$B$16</f>
        <v>9015</v>
      </c>
      <c r="D39" s="3" t="s">
        <v>251</v>
      </c>
    </row>
    <row r="40" spans="1:11" x14ac:dyDescent="0.25">
      <c r="A40" s="6" t="s">
        <v>252</v>
      </c>
      <c r="C40" s="31">
        <f>C38+C39</f>
        <v>66992.425784363673</v>
      </c>
    </row>
    <row r="41" spans="1:11" x14ac:dyDescent="0.25">
      <c r="A41" s="8" t="s">
        <v>253</v>
      </c>
      <c r="C41" s="35">
        <f>C40/Inputs!$B$9</f>
        <v>107.53198360250991</v>
      </c>
      <c r="D41" s="3" t="s">
        <v>254</v>
      </c>
    </row>
    <row r="42" spans="1:11" x14ac:dyDescent="0.25">
      <c r="A42" s="6" t="s">
        <v>255</v>
      </c>
      <c r="C42" s="52">
        <f>C41*(1+WACC!$B$8)^Inputs!$B$29</f>
        <v>115.68822649555594</v>
      </c>
      <c r="D42" s="3" t="s">
        <v>256</v>
      </c>
    </row>
    <row r="43" spans="1:11" x14ac:dyDescent="0.25">
      <c r="A43" s="8" t="s">
        <v>257</v>
      </c>
      <c r="C43" s="53">
        <f>Inputs!$B$6</f>
        <v>162.43</v>
      </c>
    </row>
    <row r="44" spans="1:11" x14ac:dyDescent="0.25">
      <c r="A44" s="8" t="s">
        <v>7</v>
      </c>
      <c r="C44" s="36">
        <f>C42/C43-1</f>
        <v>-0.28776564368924507</v>
      </c>
    </row>
    <row r="45" spans="1:11" x14ac:dyDescent="0.25">
      <c r="A45" s="6" t="s">
        <v>8</v>
      </c>
      <c r="C45" s="54" t="str">
        <f>IF(C44&gt;Inputs!$B$28,"BUY",IF(C44&lt;-Inputs!$B$28,"SELL","HOLD"))</f>
        <v>SELL</v>
      </c>
    </row>
    <row r="47" spans="1:11" x14ac:dyDescent="0.25">
      <c r="A47" s="4" t="s">
        <v>258</v>
      </c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25">
      <c r="A48" s="8" t="s">
        <v>259</v>
      </c>
      <c r="C48" s="36">
        <f>C37/C38</f>
        <v>0.75185553311576281</v>
      </c>
    </row>
    <row r="49" spans="1:11" x14ac:dyDescent="0.25">
      <c r="A49" s="8" t="s">
        <v>260</v>
      </c>
      <c r="C49" s="55">
        <f>C38/D17</f>
        <v>19.073113209327975</v>
      </c>
      <c r="D49" s="3" t="s">
        <v>261</v>
      </c>
    </row>
    <row r="50" spans="1:11" x14ac:dyDescent="0.25">
      <c r="A50" s="8" t="s">
        <v>262</v>
      </c>
      <c r="C50" s="55">
        <f>C36/I17</f>
        <v>11.566598769381667</v>
      </c>
    </row>
    <row r="51" spans="1:11" x14ac:dyDescent="0.25">
      <c r="A51" s="8" t="s">
        <v>263</v>
      </c>
      <c r="C51" s="36">
        <f>F15/C55-1</f>
        <v>-1.6583587413380174E-3</v>
      </c>
    </row>
    <row r="52" spans="1:11" x14ac:dyDescent="0.25">
      <c r="A52" s="8" t="s">
        <v>264</v>
      </c>
      <c r="C52" s="36">
        <f>F17/C56-1</f>
        <v>-2.4161506995336257E-2</v>
      </c>
      <c r="D52" s="3" t="s">
        <v>265</v>
      </c>
    </row>
    <row r="54" spans="1:11" x14ac:dyDescent="0.25">
      <c r="A54" s="6" t="s">
        <v>266</v>
      </c>
    </row>
    <row r="55" spans="1:11" x14ac:dyDescent="0.25">
      <c r="A55" s="8" t="s">
        <v>267</v>
      </c>
      <c r="C55" s="22">
        <v>17606</v>
      </c>
    </row>
    <row r="56" spans="1:11" x14ac:dyDescent="0.25">
      <c r="A56" s="8" t="s">
        <v>268</v>
      </c>
      <c r="C56" s="22">
        <v>4503</v>
      </c>
    </row>
    <row r="58" spans="1:11" x14ac:dyDescent="0.25">
      <c r="A58" s="4" t="s">
        <v>269</v>
      </c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25">
      <c r="A59" s="3"/>
    </row>
    <row r="63" spans="1:11" x14ac:dyDescent="0.25">
      <c r="A63" s="6" t="s">
        <v>270</v>
      </c>
    </row>
    <row r="64" spans="1:11" x14ac:dyDescent="0.25">
      <c r="A64" s="8" t="s">
        <v>271</v>
      </c>
      <c r="C64" s="56">
        <v>0</v>
      </c>
    </row>
    <row r="66" spans="1:8" x14ac:dyDescent="0.25">
      <c r="A66" s="6" t="s">
        <v>272</v>
      </c>
    </row>
    <row r="67" spans="1:8" x14ac:dyDescent="0.25">
      <c r="C67" s="57">
        <f>C42</f>
        <v>115.68822649555594</v>
      </c>
      <c r="D67" s="58">
        <v>0.02</v>
      </c>
      <c r="E67" s="58">
        <v>2.5000000000000001E-2</v>
      </c>
      <c r="F67" s="58">
        <v>0.03</v>
      </c>
      <c r="G67" s="58">
        <v>3.5000000000000003E-2</v>
      </c>
      <c r="H67" s="58">
        <v>0.04</v>
      </c>
    </row>
    <row r="68" spans="1:8" x14ac:dyDescent="0.25">
      <c r="C68" s="59">
        <f>WACC!$B$15-0.01</f>
        <v>9.0305624401446932E-2</v>
      </c>
      <c r="D68" s="60">
        <f t="dataTable" ref="D68:H72" dt2D="1" dtr="0" r1="I6" r2="C64" ca="1"/>
        <v>118.64746808124494</v>
      </c>
      <c r="E68" s="60">
        <v>125.21395133209117</v>
      </c>
      <c r="F68" s="60">
        <v>132.86930205027915</v>
      </c>
      <c r="G68" s="60">
        <v>141.908843038632</v>
      </c>
      <c r="H68" s="60">
        <v>152.74530854504988</v>
      </c>
    </row>
    <row r="69" spans="1:8" x14ac:dyDescent="0.25">
      <c r="C69" s="59">
        <f>WACC!$B$15-0.005</f>
        <v>9.5305624401446923E-2</v>
      </c>
      <c r="D69" s="60">
        <v>111.55063163025247</v>
      </c>
      <c r="E69" s="60">
        <v>117.15386449903473</v>
      </c>
      <c r="F69" s="60">
        <v>123.61509894427206</v>
      </c>
      <c r="G69" s="60">
        <v>131.14774828809749</v>
      </c>
      <c r="H69" s="60">
        <v>140.04240184493906</v>
      </c>
    </row>
    <row r="70" spans="1:8" x14ac:dyDescent="0.25">
      <c r="C70" s="59">
        <f>WACC!$B$15</f>
        <v>0.10030562440144693</v>
      </c>
      <c r="D70" s="60">
        <v>105.34732138025535</v>
      </c>
      <c r="E70" s="60">
        <v>110.17447603693563</v>
      </c>
      <c r="F70" s="61">
        <v>115.68822649555594</v>
      </c>
      <c r="G70" s="60">
        <v>122.04627643207814</v>
      </c>
      <c r="H70" s="60">
        <v>129.45863100430029</v>
      </c>
    </row>
    <row r="71" spans="1:8" x14ac:dyDescent="0.25">
      <c r="C71" s="59">
        <f>WACC!$B$15+0.005</f>
        <v>0.10530562440144693</v>
      </c>
      <c r="D71" s="60">
        <v>99.880092418825939</v>
      </c>
      <c r="E71" s="60">
        <v>104.07357670480842</v>
      </c>
      <c r="F71" s="60">
        <v>108.82392302059461</v>
      </c>
      <c r="G71" s="60">
        <v>114.24994021708608</v>
      </c>
      <c r="H71" s="60">
        <v>120.50682263326165</v>
      </c>
    </row>
    <row r="72" spans="1:8" x14ac:dyDescent="0.25">
      <c r="C72" s="59">
        <f>WACC!$B$15+0.01</f>
        <v>0.11030562440144692</v>
      </c>
      <c r="D72" s="60">
        <v>95.026381566487402</v>
      </c>
      <c r="E72" s="60">
        <v>98.696378611954273</v>
      </c>
      <c r="F72" s="60">
        <v>102.82337939443478</v>
      </c>
      <c r="G72" s="60">
        <v>107.49841371561611</v>
      </c>
      <c r="H72" s="60">
        <v>112.83840683077489</v>
      </c>
    </row>
    <row r="74" spans="1:8" x14ac:dyDescent="0.25">
      <c r="A74" s="6" t="s">
        <v>273</v>
      </c>
    </row>
    <row r="75" spans="1:8" x14ac:dyDescent="0.25">
      <c r="C75" s="57">
        <f>C42</f>
        <v>115.68822649555594</v>
      </c>
      <c r="D75" s="58">
        <v>0.24</v>
      </c>
      <c r="E75" s="58">
        <v>0.26</v>
      </c>
      <c r="F75" s="58">
        <v>0.28000000000000003</v>
      </c>
      <c r="G75" s="58">
        <v>0.3</v>
      </c>
      <c r="H75" s="58">
        <v>0.32</v>
      </c>
    </row>
    <row r="76" spans="1:8" x14ac:dyDescent="0.25">
      <c r="C76" s="62">
        <v>1</v>
      </c>
      <c r="D76" s="60">
        <f t="dataTable" ref="D76:H80" dt2D="1" dtr="0" r1="I7" r2="C12"/>
        <v>105.24126246848112</v>
      </c>
      <c r="E76" s="60">
        <v>110.46474448201852</v>
      </c>
      <c r="F76" s="61">
        <v>115.68822649555594</v>
      </c>
      <c r="G76" s="60">
        <v>120.91170850909333</v>
      </c>
      <c r="H76" s="60">
        <v>126.13519052263071</v>
      </c>
    </row>
    <row r="77" spans="1:8" x14ac:dyDescent="0.25">
      <c r="C77" s="62">
        <v>0.75</v>
      </c>
      <c r="D77" s="60">
        <v>116.0835287915348</v>
      </c>
      <c r="E77" s="60">
        <v>121.30701080507224</v>
      </c>
      <c r="F77" s="60">
        <v>126.53049281860963</v>
      </c>
      <c r="G77" s="60">
        <v>131.75397483214698</v>
      </c>
      <c r="H77" s="60">
        <v>136.97745684568443</v>
      </c>
    </row>
    <row r="78" spans="1:8" x14ac:dyDescent="0.25">
      <c r="C78" s="62">
        <v>0.5</v>
      </c>
      <c r="D78" s="60">
        <v>126.9257951145885</v>
      </c>
      <c r="E78" s="60">
        <v>132.1492771281259</v>
      </c>
      <c r="F78" s="60">
        <v>137.37275914166332</v>
      </c>
      <c r="G78" s="60">
        <v>142.59624115520069</v>
      </c>
      <c r="H78" s="60">
        <v>147.81972316873811</v>
      </c>
    </row>
    <row r="79" spans="1:8" x14ac:dyDescent="0.25">
      <c r="C79" s="62">
        <v>0.25</v>
      </c>
      <c r="D79" s="60">
        <v>137.76806143764219</v>
      </c>
      <c r="E79" s="60">
        <v>142.99154345117955</v>
      </c>
      <c r="F79" s="60">
        <v>148.215025464717</v>
      </c>
      <c r="G79" s="60">
        <v>153.43850747825437</v>
      </c>
      <c r="H79" s="60">
        <v>158.66198949179176</v>
      </c>
    </row>
    <row r="80" spans="1:8" x14ac:dyDescent="0.25">
      <c r="C80" s="62">
        <v>0</v>
      </c>
      <c r="D80" s="60">
        <v>148.61032776069587</v>
      </c>
      <c r="E80" s="60">
        <v>153.83380977423329</v>
      </c>
      <c r="F80" s="60">
        <v>159.05729178777068</v>
      </c>
      <c r="G80" s="60">
        <v>164.28077380130804</v>
      </c>
      <c r="H80" s="60">
        <v>169.50425581484546</v>
      </c>
    </row>
    <row r="81" spans="1:1" x14ac:dyDescent="0.25">
      <c r="A81" s="3" t="s">
        <v>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4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7" customWidth="1"/>
    <col min="2" max="2" width="16" customWidth="1"/>
    <col min="3" max="3" width="6" customWidth="1"/>
    <col min="4" max="4" width="10" customWidth="1"/>
    <col min="5" max="5" width="11" customWidth="1"/>
    <col min="6" max="6" width="10" customWidth="1"/>
    <col min="7" max="9" width="11" customWidth="1"/>
    <col min="10" max="15" width="10" customWidth="1"/>
    <col min="16" max="17" width="9" customWidth="1"/>
    <col min="18" max="22" width="10" customWidth="1"/>
    <col min="23" max="24" width="9" customWidth="1"/>
  </cols>
  <sheetData>
    <row r="1" spans="1:24" ht="20.25" x14ac:dyDescent="0.3">
      <c r="A1" s="1" t="s">
        <v>275</v>
      </c>
    </row>
    <row r="2" spans="1:24" x14ac:dyDescent="0.25">
      <c r="A2" s="3" t="s">
        <v>276</v>
      </c>
    </row>
    <row r="3" spans="1:24" x14ac:dyDescent="0.25">
      <c r="A3" s="8" t="s">
        <v>277</v>
      </c>
      <c r="B3" s="63">
        <v>6.7038000000000002</v>
      </c>
      <c r="C3" s="3" t="s">
        <v>278</v>
      </c>
    </row>
    <row r="5" spans="1:24" ht="30" customHeight="1" x14ac:dyDescent="0.25">
      <c r="A5" s="17" t="s">
        <v>279</v>
      </c>
      <c r="B5" s="18" t="s">
        <v>280</v>
      </c>
      <c r="C5" s="18" t="s">
        <v>281</v>
      </c>
      <c r="D5" s="18" t="s">
        <v>282</v>
      </c>
      <c r="E5" s="18" t="s">
        <v>283</v>
      </c>
      <c r="F5" s="18" t="s">
        <v>284</v>
      </c>
      <c r="G5" s="18" t="s">
        <v>285</v>
      </c>
      <c r="H5" s="18" t="s">
        <v>286</v>
      </c>
      <c r="I5" s="18" t="s">
        <v>287</v>
      </c>
      <c r="J5" s="18" t="s">
        <v>288</v>
      </c>
      <c r="K5" s="18" t="s">
        <v>289</v>
      </c>
      <c r="L5" s="18" t="s">
        <v>290</v>
      </c>
      <c r="M5" s="18" t="s">
        <v>291</v>
      </c>
      <c r="N5" s="18" t="s">
        <v>292</v>
      </c>
      <c r="O5" s="18" t="s">
        <v>293</v>
      </c>
      <c r="P5" s="18" t="s">
        <v>294</v>
      </c>
      <c r="Q5" s="18" t="s">
        <v>295</v>
      </c>
      <c r="R5" s="18" t="s">
        <v>296</v>
      </c>
      <c r="S5" s="18" t="s">
        <v>297</v>
      </c>
      <c r="T5" s="18" t="s">
        <v>298</v>
      </c>
      <c r="U5" s="18" t="s">
        <v>299</v>
      </c>
      <c r="V5" s="18" t="s">
        <v>300</v>
      </c>
      <c r="W5" s="18" t="s">
        <v>301</v>
      </c>
      <c r="X5" s="18" t="s">
        <v>302</v>
      </c>
    </row>
    <row r="6" spans="1:24" x14ac:dyDescent="0.25">
      <c r="A6" s="8" t="s">
        <v>303</v>
      </c>
      <c r="B6" s="8" t="s">
        <v>304</v>
      </c>
      <c r="C6" s="8" t="s">
        <v>50</v>
      </c>
      <c r="D6" s="28">
        <v>160.34</v>
      </c>
      <c r="E6" s="20">
        <v>46304</v>
      </c>
      <c r="F6" s="34">
        <v>751.38</v>
      </c>
      <c r="G6" s="23">
        <f t="shared" ref="G6:G11" si="0">D6*F6*IF(C6="CNY",$B$3,1)</f>
        <v>120476.2692</v>
      </c>
      <c r="H6" s="22">
        <v>1533</v>
      </c>
      <c r="I6" s="23">
        <f t="shared" ref="I6:I11" si="1">G6+H6</f>
        <v>122009.2692</v>
      </c>
      <c r="J6" s="22">
        <v>26917</v>
      </c>
      <c r="K6" s="22">
        <v>29251</v>
      </c>
      <c r="L6" s="22">
        <v>31970</v>
      </c>
      <c r="M6" s="22">
        <v>10847</v>
      </c>
      <c r="N6" s="22">
        <v>10337</v>
      </c>
      <c r="O6" s="22">
        <v>11559</v>
      </c>
      <c r="P6" s="28">
        <v>10.5</v>
      </c>
      <c r="Q6" s="28">
        <v>12.11</v>
      </c>
      <c r="R6" s="36">
        <f t="shared" ref="R6:R11" si="2">L6/K6-1</f>
        <v>9.2954087039759381E-2</v>
      </c>
      <c r="S6" s="36">
        <f t="shared" ref="S6:S11" si="3">N6/K6</f>
        <v>0.35338962770503574</v>
      </c>
      <c r="T6" s="55">
        <f t="shared" ref="T6:T11" si="4">I6/M6</f>
        <v>11.248204037982852</v>
      </c>
      <c r="U6" s="55">
        <f t="shared" ref="U6:U11" si="5">I6/N6</f>
        <v>11.803160414046628</v>
      </c>
      <c r="V6" s="55">
        <f t="shared" ref="V6:V11" si="6">I6/O6</f>
        <v>10.555348144303141</v>
      </c>
      <c r="W6" s="55">
        <f t="shared" ref="W6:W11" si="7">D6*IF(C6="CNY",$B$3,1)/P6</f>
        <v>15.270476190476192</v>
      </c>
      <c r="X6" s="55">
        <f t="shared" ref="X6:X11" si="8">D6*IF(C6="CNY",$B$3,1)/Q6</f>
        <v>13.240297274979357</v>
      </c>
    </row>
    <row r="7" spans="1:24" x14ac:dyDescent="0.25">
      <c r="A7" s="8" t="s">
        <v>305</v>
      </c>
      <c r="B7" s="8" t="s">
        <v>304</v>
      </c>
      <c r="C7" s="8" t="s">
        <v>50</v>
      </c>
      <c r="D7" s="28">
        <v>264.17</v>
      </c>
      <c r="E7" s="20">
        <v>46290</v>
      </c>
      <c r="F7" s="34">
        <v>120.01900000000001</v>
      </c>
      <c r="G7" s="23">
        <f t="shared" si="0"/>
        <v>31705.419230000003</v>
      </c>
      <c r="H7" s="22">
        <v>428</v>
      </c>
      <c r="I7" s="23">
        <f t="shared" si="1"/>
        <v>32133.419230000003</v>
      </c>
      <c r="J7" s="22">
        <v>14733</v>
      </c>
      <c r="K7" s="22">
        <v>16201</v>
      </c>
      <c r="L7" s="22">
        <v>17348</v>
      </c>
      <c r="M7" s="22">
        <v>4126</v>
      </c>
      <c r="N7" s="22">
        <v>2843</v>
      </c>
      <c r="O7" s="22">
        <v>3175</v>
      </c>
      <c r="P7" s="28">
        <v>18.53</v>
      </c>
      <c r="Q7" s="28">
        <v>21.23</v>
      </c>
      <c r="R7" s="36">
        <f t="shared" si="2"/>
        <v>7.0798098882784988E-2</v>
      </c>
      <c r="S7" s="36">
        <f t="shared" si="3"/>
        <v>0.17548299487685945</v>
      </c>
      <c r="T7" s="55">
        <f t="shared" si="4"/>
        <v>7.7880318056228797</v>
      </c>
      <c r="U7" s="55">
        <f t="shared" si="5"/>
        <v>11.302644822370736</v>
      </c>
      <c r="V7" s="55">
        <f t="shared" si="6"/>
        <v>10.120761962204725</v>
      </c>
      <c r="W7" s="55">
        <f t="shared" si="7"/>
        <v>14.256341068537507</v>
      </c>
      <c r="X7" s="55">
        <f t="shared" si="8"/>
        <v>12.443240697126708</v>
      </c>
    </row>
    <row r="8" spans="1:24" x14ac:dyDescent="0.25">
      <c r="A8" s="8" t="s">
        <v>306</v>
      </c>
      <c r="B8" s="8" t="s">
        <v>304</v>
      </c>
      <c r="C8" s="8" t="s">
        <v>307</v>
      </c>
      <c r="D8" s="28">
        <v>38.9</v>
      </c>
      <c r="E8" s="20">
        <v>46304</v>
      </c>
      <c r="F8" s="34">
        <v>629.70500000000004</v>
      </c>
      <c r="G8" s="23">
        <f t="shared" si="0"/>
        <v>164213.09714309999</v>
      </c>
      <c r="H8" s="22">
        <v>-15686</v>
      </c>
      <c r="I8" s="23">
        <f t="shared" si="1"/>
        <v>148527.09714309999</v>
      </c>
      <c r="J8" s="22">
        <v>62409</v>
      </c>
      <c r="K8" s="22">
        <v>66591</v>
      </c>
      <c r="L8" s="22">
        <v>72620</v>
      </c>
      <c r="M8" s="22">
        <v>16032</v>
      </c>
      <c r="N8" s="22">
        <v>11773</v>
      </c>
      <c r="O8" s="22">
        <v>17292</v>
      </c>
      <c r="P8" s="28">
        <v>10.8</v>
      </c>
      <c r="Q8" s="28">
        <v>22.93</v>
      </c>
      <c r="R8" s="36">
        <f t="shared" si="2"/>
        <v>9.0537760358006425E-2</v>
      </c>
      <c r="S8" s="36">
        <f t="shared" si="3"/>
        <v>0.17679566307759306</v>
      </c>
      <c r="T8" s="55">
        <f t="shared" si="4"/>
        <v>9.2644147419598291</v>
      </c>
      <c r="U8" s="55">
        <f t="shared" si="5"/>
        <v>12.61590904128939</v>
      </c>
      <c r="V8" s="55">
        <f t="shared" si="6"/>
        <v>8.5893532930314596</v>
      </c>
      <c r="W8" s="55">
        <f t="shared" si="7"/>
        <v>24.146094444444444</v>
      </c>
      <c r="X8" s="55">
        <f t="shared" si="8"/>
        <v>11.372778892280856</v>
      </c>
    </row>
    <row r="9" spans="1:24" x14ac:dyDescent="0.25">
      <c r="A9" s="8" t="s">
        <v>308</v>
      </c>
      <c r="B9" s="8" t="s">
        <v>309</v>
      </c>
      <c r="C9" s="8" t="s">
        <v>50</v>
      </c>
      <c r="D9" s="28">
        <v>352.03</v>
      </c>
      <c r="E9" s="20">
        <v>46290</v>
      </c>
      <c r="F9" s="34">
        <v>260.76600000000002</v>
      </c>
      <c r="G9" s="23">
        <f t="shared" si="0"/>
        <v>91797.454979999995</v>
      </c>
      <c r="H9" s="22">
        <v>15846</v>
      </c>
      <c r="I9" s="23">
        <f t="shared" si="1"/>
        <v>107643.45497999999</v>
      </c>
      <c r="J9" s="22">
        <v>26186</v>
      </c>
      <c r="K9" s="22">
        <v>27783</v>
      </c>
      <c r="L9" s="22">
        <v>29479</v>
      </c>
      <c r="M9" s="22">
        <v>6005</v>
      </c>
      <c r="N9" s="22">
        <v>4907</v>
      </c>
      <c r="O9" s="22">
        <v>5436</v>
      </c>
      <c r="P9" s="28">
        <v>11.16</v>
      </c>
      <c r="Q9" s="28">
        <v>13.06</v>
      </c>
      <c r="R9" s="36">
        <f t="shared" si="2"/>
        <v>6.104452362955759E-2</v>
      </c>
      <c r="S9" s="36">
        <f t="shared" si="3"/>
        <v>0.17661879566641472</v>
      </c>
      <c r="T9" s="55">
        <f t="shared" si="4"/>
        <v>17.925637798501249</v>
      </c>
      <c r="U9" s="55">
        <f t="shared" si="5"/>
        <v>21.936713874057467</v>
      </c>
      <c r="V9" s="55">
        <f t="shared" si="6"/>
        <v>19.801960077262692</v>
      </c>
      <c r="W9" s="55">
        <f t="shared" si="7"/>
        <v>31.543906810035839</v>
      </c>
      <c r="X9" s="55">
        <f t="shared" si="8"/>
        <v>26.954823889739661</v>
      </c>
    </row>
    <row r="10" spans="1:24" x14ac:dyDescent="0.25">
      <c r="A10" s="8" t="s">
        <v>310</v>
      </c>
      <c r="B10" s="8" t="s">
        <v>309</v>
      </c>
      <c r="C10" s="8" t="s">
        <v>50</v>
      </c>
      <c r="D10" s="28">
        <v>320.27999999999997</v>
      </c>
      <c r="E10" s="20">
        <v>46293</v>
      </c>
      <c r="F10" s="34">
        <v>225.065</v>
      </c>
      <c r="G10" s="23">
        <f t="shared" si="0"/>
        <v>72083.818199999994</v>
      </c>
      <c r="H10" s="22">
        <v>11489</v>
      </c>
      <c r="I10" s="23">
        <f t="shared" si="1"/>
        <v>83572.818199999994</v>
      </c>
      <c r="J10" s="22">
        <v>12039</v>
      </c>
      <c r="K10" s="22">
        <v>13034</v>
      </c>
      <c r="L10" s="22">
        <v>14164</v>
      </c>
      <c r="M10" s="22">
        <v>4064</v>
      </c>
      <c r="N10" s="22">
        <v>3342</v>
      </c>
      <c r="O10" s="22">
        <v>3845</v>
      </c>
      <c r="P10" s="28">
        <v>8.3759999999999994</v>
      </c>
      <c r="Q10" s="28">
        <v>9.9749999999999996</v>
      </c>
      <c r="R10" s="36">
        <f t="shared" si="2"/>
        <v>8.6696332668405818E-2</v>
      </c>
      <c r="S10" s="36">
        <f t="shared" si="3"/>
        <v>0.25640632192726714</v>
      </c>
      <c r="T10" s="55">
        <f t="shared" si="4"/>
        <v>20.564177706692913</v>
      </c>
      <c r="U10" s="55">
        <f t="shared" si="5"/>
        <v>25.006827707959303</v>
      </c>
      <c r="V10" s="55">
        <f t="shared" si="6"/>
        <v>21.735453368010401</v>
      </c>
      <c r="W10" s="55">
        <f t="shared" si="7"/>
        <v>38.237822349570202</v>
      </c>
      <c r="X10" s="55">
        <f t="shared" si="8"/>
        <v>32.108270676691731</v>
      </c>
    </row>
    <row r="11" spans="1:24" x14ac:dyDescent="0.25">
      <c r="A11" s="64" t="s">
        <v>311</v>
      </c>
      <c r="B11" s="65" t="s">
        <v>312</v>
      </c>
      <c r="C11" s="65" t="s">
        <v>50</v>
      </c>
      <c r="D11" s="66">
        <f>Inputs!$B$6</f>
        <v>162.43</v>
      </c>
      <c r="E11" s="67">
        <f>Inputs!$B$7</f>
        <v>46297</v>
      </c>
      <c r="F11" s="68">
        <f>Inputs!$B$8</f>
        <v>598.78599999999994</v>
      </c>
      <c r="G11" s="69">
        <f t="shared" si="0"/>
        <v>97260.809979999991</v>
      </c>
      <c r="H11" s="70">
        <f>-Inputs!$B$16</f>
        <v>-9015</v>
      </c>
      <c r="I11" s="69">
        <f t="shared" si="1"/>
        <v>88245.809979999991</v>
      </c>
      <c r="J11" s="71">
        <v>12241</v>
      </c>
      <c r="K11" s="71">
        <v>14170</v>
      </c>
      <c r="L11" s="71">
        <v>15825</v>
      </c>
      <c r="M11" s="71">
        <v>5044</v>
      </c>
      <c r="N11" s="71">
        <v>3174</v>
      </c>
      <c r="O11" s="71">
        <v>3782</v>
      </c>
      <c r="P11" s="72">
        <v>5.298</v>
      </c>
      <c r="Q11" s="72">
        <v>6.25</v>
      </c>
      <c r="R11" s="73">
        <f t="shared" si="2"/>
        <v>0.11679604798870846</v>
      </c>
      <c r="S11" s="73">
        <f t="shared" si="3"/>
        <v>0.22399435426958364</v>
      </c>
      <c r="T11" s="74">
        <f t="shared" si="4"/>
        <v>17.495204199048374</v>
      </c>
      <c r="U11" s="74">
        <f t="shared" si="5"/>
        <v>27.802712659105229</v>
      </c>
      <c r="V11" s="74">
        <f t="shared" si="6"/>
        <v>23.333106816499203</v>
      </c>
      <c r="W11" s="74">
        <f t="shared" si="7"/>
        <v>30.658739146847868</v>
      </c>
      <c r="X11" s="74">
        <f t="shared" si="8"/>
        <v>25.988800000000001</v>
      </c>
    </row>
    <row r="13" spans="1:24" x14ac:dyDescent="0.25">
      <c r="A13" s="3" t="s">
        <v>313</v>
      </c>
    </row>
    <row r="14" spans="1:24" x14ac:dyDescent="0.25">
      <c r="A14" s="3" t="s">
        <v>314</v>
      </c>
    </row>
    <row r="15" spans="1:24" x14ac:dyDescent="0.25">
      <c r="A15" s="3" t="s">
        <v>315</v>
      </c>
    </row>
    <row r="16" spans="1:24" x14ac:dyDescent="0.25">
      <c r="A16" s="3" t="s">
        <v>316</v>
      </c>
    </row>
    <row r="18" spans="1:8" x14ac:dyDescent="0.25">
      <c r="A18" s="4" t="s">
        <v>317</v>
      </c>
      <c r="B18" s="5"/>
      <c r="C18" s="5"/>
      <c r="D18" s="5"/>
      <c r="E18" s="5"/>
      <c r="F18" s="5"/>
      <c r="G18" s="5"/>
      <c r="H18" s="5"/>
    </row>
    <row r="19" spans="1:8" ht="30" customHeight="1" x14ac:dyDescent="0.25">
      <c r="A19" s="17" t="s">
        <v>318</v>
      </c>
      <c r="B19" s="18" t="s">
        <v>298</v>
      </c>
      <c r="C19" s="18" t="s">
        <v>299</v>
      </c>
      <c r="D19" s="18" t="s">
        <v>300</v>
      </c>
      <c r="E19" s="18" t="s">
        <v>301</v>
      </c>
      <c r="F19" s="18" t="s">
        <v>302</v>
      </c>
      <c r="G19" s="18" t="s">
        <v>296</v>
      </c>
      <c r="H19" s="18" t="s">
        <v>297</v>
      </c>
    </row>
    <row r="20" spans="1:8" x14ac:dyDescent="0.25">
      <c r="A20" s="6" t="s">
        <v>319</v>
      </c>
      <c r="B20" s="75">
        <f>MEDIAN(T6:T8)</f>
        <v>9.2644147419598291</v>
      </c>
      <c r="C20" s="75">
        <f>MEDIAN(U6:U8)</f>
        <v>11.803160414046628</v>
      </c>
      <c r="D20" s="75">
        <f>MEDIAN(V6:V8)</f>
        <v>10.120761962204725</v>
      </c>
      <c r="E20" s="75">
        <f>MEDIAN(W6:W8)</f>
        <v>15.270476190476192</v>
      </c>
      <c r="F20" s="75">
        <f>MEDIAN(X6:X8)</f>
        <v>12.443240697126708</v>
      </c>
      <c r="G20" s="42">
        <f>MEDIAN(R6:R8)</f>
        <v>9.0537760358006425E-2</v>
      </c>
      <c r="H20" s="42">
        <f>MEDIAN(S6:S8)</f>
        <v>0.17679566307759306</v>
      </c>
    </row>
    <row r="21" spans="1:8" x14ac:dyDescent="0.25">
      <c r="A21" s="8" t="s">
        <v>320</v>
      </c>
      <c r="B21" s="55">
        <f>MIN(T6:T8)</f>
        <v>7.7880318056228797</v>
      </c>
      <c r="C21" s="55">
        <f>MIN(U6:U8)</f>
        <v>11.302644822370736</v>
      </c>
      <c r="D21" s="55">
        <f>MIN(V6:V8)</f>
        <v>8.5893532930314596</v>
      </c>
      <c r="E21" s="55">
        <f>MIN(W6:W8)</f>
        <v>14.256341068537507</v>
      </c>
      <c r="F21" s="55">
        <f>MIN(X6:X8)</f>
        <v>11.372778892280856</v>
      </c>
      <c r="G21" s="36">
        <f>MIN(R6:R8)</f>
        <v>7.0798098882784988E-2</v>
      </c>
      <c r="H21" s="36">
        <f>MIN(S6:S8)</f>
        <v>0.17548299487685945</v>
      </c>
    </row>
    <row r="22" spans="1:8" x14ac:dyDescent="0.25">
      <c r="A22" s="8" t="s">
        <v>321</v>
      </c>
      <c r="B22" s="55">
        <f>MAX(T6:T8)</f>
        <v>11.248204037982852</v>
      </c>
      <c r="C22" s="55">
        <f>MAX(U6:U8)</f>
        <v>12.61590904128939</v>
      </c>
      <c r="D22" s="55">
        <f>MAX(V6:V8)</f>
        <v>10.555348144303141</v>
      </c>
      <c r="E22" s="55">
        <f>MAX(W6:W8)</f>
        <v>24.146094444444444</v>
      </c>
      <c r="F22" s="55">
        <f>MAX(X6:X8)</f>
        <v>13.240297274979357</v>
      </c>
      <c r="G22" s="36">
        <f>MAX(R6:R8)</f>
        <v>9.2954087039759381E-2</v>
      </c>
      <c r="H22" s="36">
        <f>MAX(S6:S8)</f>
        <v>0.35338962770503574</v>
      </c>
    </row>
    <row r="23" spans="1:8" x14ac:dyDescent="0.25">
      <c r="A23" s="6" t="s">
        <v>322</v>
      </c>
      <c r="B23" s="75">
        <f>MEDIAN(T9:T10)</f>
        <v>19.244907752597079</v>
      </c>
      <c r="C23" s="75">
        <f>MEDIAN(U9:U10)</f>
        <v>23.471770791008385</v>
      </c>
      <c r="D23" s="75">
        <f>MEDIAN(V9:V10)</f>
        <v>20.768706722636544</v>
      </c>
      <c r="E23" s="75">
        <f>MEDIAN(W9:W10)</f>
        <v>34.890864579803022</v>
      </c>
      <c r="F23" s="75">
        <f>MEDIAN(X9:X10)</f>
        <v>29.531547283215694</v>
      </c>
      <c r="G23" s="42">
        <f>MEDIAN(R9:R10)</f>
        <v>7.3870428148981704E-2</v>
      </c>
      <c r="H23" s="42">
        <f>MEDIAN(S9:S10)</f>
        <v>0.21651255879684095</v>
      </c>
    </row>
    <row r="24" spans="1:8" x14ac:dyDescent="0.25">
      <c r="A24" s="8" t="s">
        <v>323</v>
      </c>
      <c r="B24" s="55">
        <f>MIN(T9:T10)</f>
        <v>17.925637798501249</v>
      </c>
      <c r="C24" s="55">
        <f>MIN(U9:U10)</f>
        <v>21.936713874057467</v>
      </c>
      <c r="D24" s="55">
        <f>MIN(V9:V10)</f>
        <v>19.801960077262692</v>
      </c>
      <c r="E24" s="55">
        <f>MIN(W9:W10)</f>
        <v>31.543906810035839</v>
      </c>
      <c r="F24" s="55">
        <f>MIN(X9:X10)</f>
        <v>26.954823889739661</v>
      </c>
      <c r="G24" s="36">
        <f>MIN(R9:R10)</f>
        <v>6.104452362955759E-2</v>
      </c>
      <c r="H24" s="36">
        <f>MIN(S9:S10)</f>
        <v>0.17661879566641472</v>
      </c>
    </row>
    <row r="25" spans="1:8" x14ac:dyDescent="0.25">
      <c r="A25" s="8" t="s">
        <v>324</v>
      </c>
      <c r="B25" s="55">
        <f>MAX(T9:T10)</f>
        <v>20.564177706692913</v>
      </c>
      <c r="C25" s="55">
        <f>MAX(U9:U10)</f>
        <v>25.006827707959303</v>
      </c>
      <c r="D25" s="55">
        <f>MAX(V9:V10)</f>
        <v>21.735453368010401</v>
      </c>
      <c r="E25" s="55">
        <f>MAX(W9:W10)</f>
        <v>38.237822349570202</v>
      </c>
      <c r="F25" s="55">
        <f>MAX(X9:X10)</f>
        <v>32.108270676691731</v>
      </c>
      <c r="G25" s="36">
        <f>MAX(R9:R10)</f>
        <v>8.6696332668405818E-2</v>
      </c>
      <c r="H25" s="36">
        <f>MAX(S9:S10)</f>
        <v>0.25640632192726714</v>
      </c>
    </row>
    <row r="26" spans="1:8" x14ac:dyDescent="0.25">
      <c r="A26" s="64" t="s">
        <v>325</v>
      </c>
      <c r="B26" s="76">
        <f>T11</f>
        <v>17.495204199048374</v>
      </c>
      <c r="C26" s="76">
        <f>U11</f>
        <v>27.802712659105229</v>
      </c>
      <c r="D26" s="76">
        <f>V11</f>
        <v>23.333106816499203</v>
      </c>
      <c r="E26" s="76">
        <f>W11</f>
        <v>30.658739146847868</v>
      </c>
      <c r="F26" s="76">
        <f>X11</f>
        <v>25.988800000000001</v>
      </c>
      <c r="G26" s="77">
        <f>R11</f>
        <v>0.11679604798870846</v>
      </c>
      <c r="H26" s="77">
        <f>S11</f>
        <v>0.22399435426958364</v>
      </c>
    </row>
    <row r="27" spans="1:8" x14ac:dyDescent="0.25">
      <c r="A27" s="3" t="s">
        <v>326</v>
      </c>
    </row>
    <row r="29" spans="1:8" x14ac:dyDescent="0.25">
      <c r="A29" s="4" t="s">
        <v>327</v>
      </c>
      <c r="B29" s="5"/>
      <c r="C29" s="5"/>
      <c r="D29" s="5"/>
      <c r="E29" s="5"/>
      <c r="F29" s="5"/>
      <c r="G29" s="5"/>
      <c r="H29" s="5"/>
    </row>
    <row r="30" spans="1:8" x14ac:dyDescent="0.25">
      <c r="A30" s="17" t="s">
        <v>328</v>
      </c>
      <c r="B30" s="18" t="s">
        <v>329</v>
      </c>
      <c r="C30" s="18" t="s">
        <v>330</v>
      </c>
      <c r="D30" s="18" t="s">
        <v>331</v>
      </c>
      <c r="E30" s="18" t="s">
        <v>332</v>
      </c>
      <c r="F30" s="18" t="s">
        <v>333</v>
      </c>
    </row>
    <row r="31" spans="1:8" x14ac:dyDescent="0.25">
      <c r="A31" s="8" t="s">
        <v>334</v>
      </c>
      <c r="B31" s="23">
        <f>N11</f>
        <v>3174</v>
      </c>
      <c r="C31" s="35">
        <f>($B31*C21+Inputs!$B$16)/Inputs!$B$9</f>
        <v>72.053924022800501</v>
      </c>
      <c r="D31" s="78">
        <f>($B31*C20+Inputs!$B$16)/Inputs!$B$9</f>
        <v>74.60390233416372</v>
      </c>
      <c r="E31" s="35">
        <f>($B31*C22+Inputs!$B$16)/Inputs!$B$9</f>
        <v>78.744615244065045</v>
      </c>
      <c r="F31" s="3" t="s">
        <v>335</v>
      </c>
    </row>
    <row r="32" spans="1:8" x14ac:dyDescent="0.25">
      <c r="A32" s="8" t="s">
        <v>336</v>
      </c>
      <c r="B32" s="23">
        <f>N11</f>
        <v>3174</v>
      </c>
      <c r="C32" s="35">
        <f>($B32*C24+Inputs!$B$16)/Inputs!$B$9</f>
        <v>126.23134805177914</v>
      </c>
      <c r="D32" s="78">
        <f>($B32*C23+Inputs!$B$16)/Inputs!$B$9</f>
        <v>134.05200720812297</v>
      </c>
      <c r="E32" s="35">
        <f>($B32*C25+Inputs!$B$16)/Inputs!$B$9</f>
        <v>141.8726663644668</v>
      </c>
      <c r="F32" s="3" t="s">
        <v>335</v>
      </c>
    </row>
    <row r="33" spans="1:6" x14ac:dyDescent="0.25">
      <c r="A33" s="8" t="s">
        <v>337</v>
      </c>
      <c r="B33" s="35">
        <f>P11</f>
        <v>5.298</v>
      </c>
      <c r="C33" s="35">
        <f>$B33*E21</f>
        <v>75.530094981111716</v>
      </c>
      <c r="D33" s="78">
        <f>$B33*E20</f>
        <v>80.90298285714286</v>
      </c>
      <c r="E33" s="35">
        <f>$B33*E22</f>
        <v>127.92600836666666</v>
      </c>
      <c r="F33" s="3" t="s">
        <v>338</v>
      </c>
    </row>
    <row r="34" spans="1:6" x14ac:dyDescent="0.25">
      <c r="A34" s="8" t="s">
        <v>339</v>
      </c>
      <c r="B34" s="35">
        <f>P11</f>
        <v>5.298</v>
      </c>
      <c r="C34" s="35">
        <f>$B34*E24</f>
        <v>167.11961827956986</v>
      </c>
      <c r="D34" s="78">
        <f>$B34*E23</f>
        <v>184.8518005437964</v>
      </c>
      <c r="E34" s="35">
        <f>$B34*E25</f>
        <v>202.58398280802294</v>
      </c>
      <c r="F34" s="3" t="s">
        <v>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showGridLines="0" tabSelected="1" workbookViewId="0">
      <selection activeCell="E14" sqref="E14"/>
    </sheetView>
  </sheetViews>
  <sheetFormatPr defaultRowHeight="15" x14ac:dyDescent="0.25"/>
  <cols>
    <col min="1" max="1" width="34" customWidth="1"/>
    <col min="2" max="4" width="11" customWidth="1"/>
    <col min="5" max="5" width="60" customWidth="1"/>
    <col min="6" max="7" width="13" customWidth="1"/>
  </cols>
  <sheetData>
    <row r="1" spans="1:7" ht="20.25" x14ac:dyDescent="0.3">
      <c r="A1" s="1" t="s">
        <v>340</v>
      </c>
    </row>
    <row r="2" spans="1:7" x14ac:dyDescent="0.25">
      <c r="A2" s="3" t="s">
        <v>341</v>
      </c>
    </row>
    <row r="4" spans="1:7" ht="24.75" customHeight="1" x14ac:dyDescent="0.25">
      <c r="A4" s="17" t="s">
        <v>342</v>
      </c>
      <c r="B4" s="18" t="s">
        <v>330</v>
      </c>
      <c r="C4" s="18" t="s">
        <v>332</v>
      </c>
      <c r="D4" s="18" t="s">
        <v>343</v>
      </c>
      <c r="E4" s="18" t="s">
        <v>333</v>
      </c>
      <c r="F4" s="18" t="s">
        <v>49</v>
      </c>
      <c r="G4" s="18" t="s">
        <v>417</v>
      </c>
    </row>
    <row r="5" spans="1:7" x14ac:dyDescent="0.25">
      <c r="A5" s="8" t="s">
        <v>344</v>
      </c>
      <c r="B5" s="79">
        <f>MIN(DCF!E69:G71)</f>
        <v>104.07357670480842</v>
      </c>
      <c r="C5" s="79">
        <f>MAX(DCF!E69:G71)</f>
        <v>131.14774828809749</v>
      </c>
      <c r="D5" s="80">
        <f t="shared" ref="D5:D12" si="0">C5-B5</f>
        <v>27.074171583289072</v>
      </c>
      <c r="E5" s="3" t="s">
        <v>345</v>
      </c>
      <c r="F5" s="80">
        <f t="shared" ref="F5:F12" si="1">$B$14</f>
        <v>162.43</v>
      </c>
      <c r="G5" s="80">
        <f>$B$15</f>
        <v>115.68822649555594</v>
      </c>
    </row>
    <row r="6" spans="1:7" x14ac:dyDescent="0.25">
      <c r="A6" s="8" t="s">
        <v>346</v>
      </c>
      <c r="B6" s="79">
        <f>MIN(DCF!D76:H80)</f>
        <v>105.24126246848112</v>
      </c>
      <c r="C6" s="79">
        <f>MAX(DCF!D76:H80)</f>
        <v>169.50425581484546</v>
      </c>
      <c r="D6" s="80">
        <f t="shared" si="0"/>
        <v>64.26299334636434</v>
      </c>
      <c r="E6" s="3" t="s">
        <v>347</v>
      </c>
      <c r="F6" s="80">
        <f t="shared" si="1"/>
        <v>162.43</v>
      </c>
    </row>
    <row r="7" spans="1:7" x14ac:dyDescent="0.25">
      <c r="A7" s="8" t="s">
        <v>334</v>
      </c>
      <c r="B7" s="79">
        <f>Comps!C31</f>
        <v>72.053924022800501</v>
      </c>
      <c r="C7" s="79">
        <f>Comps!E31</f>
        <v>78.744615244065045</v>
      </c>
      <c r="D7" s="80">
        <f t="shared" si="0"/>
        <v>6.6906912212645437</v>
      </c>
      <c r="E7" s="3" t="s">
        <v>348</v>
      </c>
      <c r="F7" s="80">
        <f t="shared" si="1"/>
        <v>162.43</v>
      </c>
    </row>
    <row r="8" spans="1:7" x14ac:dyDescent="0.25">
      <c r="A8" s="8" t="s">
        <v>336</v>
      </c>
      <c r="B8" s="79">
        <f>Comps!C32</f>
        <v>126.23134805177914</v>
      </c>
      <c r="C8" s="79">
        <f>Comps!E32</f>
        <v>141.8726663644668</v>
      </c>
      <c r="D8" s="80">
        <f t="shared" si="0"/>
        <v>15.641318312687659</v>
      </c>
      <c r="E8" s="3" t="s">
        <v>348</v>
      </c>
      <c r="F8" s="80">
        <f t="shared" si="1"/>
        <v>162.43</v>
      </c>
    </row>
    <row r="9" spans="1:7" x14ac:dyDescent="0.25">
      <c r="A9" s="8" t="s">
        <v>337</v>
      </c>
      <c r="B9" s="79">
        <f>Comps!C33</f>
        <v>75.530094981111716</v>
      </c>
      <c r="C9" s="79">
        <f>Comps!E33</f>
        <v>127.92600836666666</v>
      </c>
      <c r="D9" s="80">
        <f t="shared" si="0"/>
        <v>52.395913385554948</v>
      </c>
      <c r="E9" s="3" t="s">
        <v>348</v>
      </c>
      <c r="F9" s="80">
        <f t="shared" si="1"/>
        <v>162.43</v>
      </c>
    </row>
    <row r="10" spans="1:7" x14ac:dyDescent="0.25">
      <c r="A10" s="8" t="s">
        <v>339</v>
      </c>
      <c r="B10" s="79">
        <f>Comps!C34</f>
        <v>167.11961827956986</v>
      </c>
      <c r="C10" s="79">
        <f>Comps!E34</f>
        <v>202.58398280802294</v>
      </c>
      <c r="D10" s="80">
        <f t="shared" si="0"/>
        <v>35.464364528453075</v>
      </c>
      <c r="E10" s="3" t="s">
        <v>348</v>
      </c>
      <c r="F10" s="80">
        <f t="shared" si="1"/>
        <v>162.43</v>
      </c>
    </row>
    <row r="11" spans="1:7" x14ac:dyDescent="0.25">
      <c r="A11" s="8" t="s">
        <v>349</v>
      </c>
      <c r="B11" s="79">
        <f>Inputs!$B$30</f>
        <v>135</v>
      </c>
      <c r="C11" s="79">
        <f>Inputs!$B$31</f>
        <v>220</v>
      </c>
      <c r="D11" s="80">
        <f t="shared" si="0"/>
        <v>85</v>
      </c>
      <c r="E11" s="3" t="s">
        <v>350</v>
      </c>
      <c r="F11" s="80">
        <f t="shared" si="1"/>
        <v>162.43</v>
      </c>
    </row>
    <row r="12" spans="1:7" x14ac:dyDescent="0.25">
      <c r="A12" s="8" t="s">
        <v>351</v>
      </c>
      <c r="B12" s="79">
        <f>Inputs!$B$32</f>
        <v>110.81</v>
      </c>
      <c r="C12" s="79">
        <f>Inputs!$B$33</f>
        <v>193.45</v>
      </c>
      <c r="D12" s="80">
        <f t="shared" si="0"/>
        <v>82.639999999999986</v>
      </c>
      <c r="E12" s="3" t="s">
        <v>352</v>
      </c>
      <c r="F12" s="80">
        <f t="shared" si="1"/>
        <v>162.43</v>
      </c>
    </row>
    <row r="14" spans="1:7" x14ac:dyDescent="0.25">
      <c r="A14" s="6" t="s">
        <v>353</v>
      </c>
      <c r="B14" s="81">
        <f>Inputs!$B$6</f>
        <v>162.43</v>
      </c>
    </row>
    <row r="15" spans="1:7" x14ac:dyDescent="0.25">
      <c r="A15" s="6" t="s">
        <v>354</v>
      </c>
      <c r="B15" s="81">
        <f>DCF!$C$42</f>
        <v>115.68822649555594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2"/>
  <sheetViews>
    <sheetView showGridLines="0" workbookViewId="0">
      <selection activeCell="T19" sqref="T19"/>
    </sheetView>
  </sheetViews>
  <sheetFormatPr defaultRowHeight="15" x14ac:dyDescent="0.25"/>
  <cols>
    <col min="1" max="1" width="30" customWidth="1"/>
    <col min="2" max="5" width="12" customWidth="1"/>
    <col min="6" max="6" width="3" customWidth="1"/>
  </cols>
  <sheetData>
    <row r="1" spans="1:5" ht="20.25" x14ac:dyDescent="0.3">
      <c r="A1" s="1" t="s">
        <v>355</v>
      </c>
    </row>
    <row r="2" spans="1:5" x14ac:dyDescent="0.25">
      <c r="A2" s="3" t="s">
        <v>356</v>
      </c>
    </row>
    <row r="4" spans="1:5" x14ac:dyDescent="0.25">
      <c r="A4" s="4" t="s">
        <v>357</v>
      </c>
      <c r="B4" s="5"/>
      <c r="C4" s="5"/>
      <c r="D4" s="5"/>
      <c r="E4" s="5"/>
    </row>
    <row r="5" spans="1:5" x14ac:dyDescent="0.25">
      <c r="A5" s="17"/>
      <c r="B5" s="18" t="s">
        <v>99</v>
      </c>
      <c r="C5" s="18" t="s">
        <v>100</v>
      </c>
      <c r="D5" s="18" t="s">
        <v>101</v>
      </c>
      <c r="E5" s="18" t="s">
        <v>102</v>
      </c>
    </row>
    <row r="6" spans="1:5" x14ac:dyDescent="0.25">
      <c r="A6" s="8" t="s">
        <v>358</v>
      </c>
      <c r="B6" s="23">
        <f>Historicals!B22-Historicals!B24</f>
        <v>2475</v>
      </c>
      <c r="C6" s="23">
        <f>Historicals!C22-Historicals!C24</f>
        <v>2717</v>
      </c>
      <c r="D6" s="23">
        <f>Historicals!D22-Historicals!D24</f>
        <v>3077</v>
      </c>
      <c r="E6" s="23">
        <f>Historicals!E22-Historicals!E24</f>
        <v>3021</v>
      </c>
    </row>
    <row r="7" spans="1:5" x14ac:dyDescent="0.25">
      <c r="A7" s="8" t="s">
        <v>133</v>
      </c>
      <c r="B7" s="43">
        <f>Historicals!B24</f>
        <v>930</v>
      </c>
      <c r="C7" s="43">
        <f>Historicals!C24</f>
        <v>1120</v>
      </c>
      <c r="D7" s="43">
        <f>Historicals!D24</f>
        <v>1407</v>
      </c>
      <c r="E7" s="43">
        <f>Historicals!E24</f>
        <v>1592</v>
      </c>
    </row>
    <row r="8" spans="1:5" x14ac:dyDescent="0.25">
      <c r="A8" s="8" t="s">
        <v>359</v>
      </c>
      <c r="B8" s="36">
        <f>Historicals!B24/Historicals!B22</f>
        <v>0.27312775330396477</v>
      </c>
      <c r="C8" s="36">
        <f>Historicals!C24/Historicals!C22</f>
        <v>0.29189470940839196</v>
      </c>
      <c r="D8" s="36">
        <f>Historicals!D24/Historicals!D22</f>
        <v>0.31378233719892951</v>
      </c>
      <c r="E8" s="36">
        <f>Historicals!E24/Historicals!E22</f>
        <v>0.34511164101452418</v>
      </c>
    </row>
    <row r="11" spans="1:5" x14ac:dyDescent="0.25">
      <c r="A11" s="4" t="s">
        <v>360</v>
      </c>
      <c r="B11" s="5"/>
      <c r="C11" s="5"/>
      <c r="D11" s="5"/>
      <c r="E11" s="5"/>
    </row>
    <row r="12" spans="1:5" ht="25.5" x14ac:dyDescent="0.25">
      <c r="A12" s="17" t="s">
        <v>279</v>
      </c>
      <c r="B12" s="18" t="s">
        <v>299</v>
      </c>
      <c r="C12" s="18" t="s">
        <v>296</v>
      </c>
    </row>
    <row r="13" spans="1:5" x14ac:dyDescent="0.25">
      <c r="A13" s="15" t="str">
        <f>Comps!A6</f>
        <v>Booking Holdings</v>
      </c>
      <c r="B13" s="82">
        <f>Comps!U6</f>
        <v>11.803160414046628</v>
      </c>
      <c r="C13" s="40">
        <f>Comps!R6</f>
        <v>9.2954087039759381E-2</v>
      </c>
    </row>
    <row r="14" spans="1:5" x14ac:dyDescent="0.25">
      <c r="A14" s="15" t="str">
        <f>Comps!A7</f>
        <v>Expedia Group</v>
      </c>
      <c r="B14" s="82">
        <f>Comps!U7</f>
        <v>11.302644822370736</v>
      </c>
      <c r="C14" s="40">
        <f>Comps!R7</f>
        <v>7.0798098882784988E-2</v>
      </c>
    </row>
    <row r="15" spans="1:5" x14ac:dyDescent="0.25">
      <c r="A15" s="15" t="str">
        <f>Comps!A8</f>
        <v>Trip.com Group</v>
      </c>
      <c r="B15" s="82">
        <f>Comps!U8</f>
        <v>12.61590904128939</v>
      </c>
      <c r="C15" s="40">
        <f>Comps!R8</f>
        <v>9.0537760358006425E-2</v>
      </c>
    </row>
    <row r="16" spans="1:5" x14ac:dyDescent="0.25">
      <c r="A16" s="15" t="str">
        <f>Comps!A9</f>
        <v>Marriott International</v>
      </c>
      <c r="B16" s="82">
        <f>Comps!U9</f>
        <v>21.936713874057467</v>
      </c>
      <c r="C16" s="40">
        <f>Comps!R9</f>
        <v>6.104452362955759E-2</v>
      </c>
    </row>
    <row r="17" spans="1:5" x14ac:dyDescent="0.25">
      <c r="A17" s="15" t="str">
        <f>Comps!A10</f>
        <v>Hilton Worldwide</v>
      </c>
      <c r="B17" s="82">
        <f>Comps!U10</f>
        <v>25.006827707959303</v>
      </c>
      <c r="C17" s="40">
        <f>Comps!R10</f>
        <v>8.6696332668405818E-2</v>
      </c>
    </row>
    <row r="18" spans="1:5" x14ac:dyDescent="0.25">
      <c r="A18" s="15" t="str">
        <f>Comps!A11</f>
        <v>Airbnb (consensus)</v>
      </c>
      <c r="B18" s="82">
        <f>Comps!U11</f>
        <v>27.802712659105229</v>
      </c>
      <c r="C18" s="40">
        <f>Comps!R11</f>
        <v>0.11679604798870846</v>
      </c>
    </row>
    <row r="20" spans="1:5" x14ac:dyDescent="0.25">
      <c r="A20" s="4" t="s">
        <v>361</v>
      </c>
      <c r="B20" s="5"/>
      <c r="C20" s="5"/>
      <c r="D20" s="5"/>
      <c r="E20" s="5"/>
    </row>
    <row r="21" spans="1:5" ht="25.5" x14ac:dyDescent="0.25">
      <c r="A21" s="17" t="s">
        <v>362</v>
      </c>
      <c r="B21" s="18" t="s">
        <v>363</v>
      </c>
      <c r="C21" s="18" t="s">
        <v>5</v>
      </c>
    </row>
    <row r="22" spans="1:5" x14ac:dyDescent="0.25">
      <c r="A22" s="15" t="str">
        <f>TEXT(DCF!C76,"0%")</f>
        <v>100%</v>
      </c>
      <c r="B22" s="79">
        <f>DCF!F76</f>
        <v>115.68822649555594</v>
      </c>
      <c r="C22" s="79">
        <f>Inputs!$B$6</f>
        <v>162.43</v>
      </c>
    </row>
    <row r="23" spans="1:5" x14ac:dyDescent="0.25">
      <c r="A23" s="15" t="str">
        <f>TEXT(DCF!C77,"0%")</f>
        <v>75%</v>
      </c>
      <c r="B23" s="79">
        <f>DCF!F77</f>
        <v>126.53049281860963</v>
      </c>
      <c r="C23" s="79">
        <f>Inputs!$B$6</f>
        <v>162.43</v>
      </c>
    </row>
    <row r="24" spans="1:5" x14ac:dyDescent="0.25">
      <c r="A24" s="15" t="str">
        <f>TEXT(DCF!C78,"0%")</f>
        <v>50%</v>
      </c>
      <c r="B24" s="79">
        <f>DCF!F78</f>
        <v>137.37275914166332</v>
      </c>
      <c r="C24" s="79">
        <f>Inputs!$B$6</f>
        <v>162.43</v>
      </c>
    </row>
    <row r="25" spans="1:5" x14ac:dyDescent="0.25">
      <c r="A25" s="15" t="str">
        <f>TEXT(DCF!C79,"0%")</f>
        <v>25%</v>
      </c>
      <c r="B25" s="79">
        <f>DCF!F79</f>
        <v>148.215025464717</v>
      </c>
      <c r="C25" s="79">
        <f>Inputs!$B$6</f>
        <v>162.43</v>
      </c>
    </row>
    <row r="26" spans="1:5" x14ac:dyDescent="0.25">
      <c r="A26" s="15" t="str">
        <f>TEXT(DCF!C80,"0%")</f>
        <v>0%</v>
      </c>
      <c r="B26" s="79">
        <f>DCF!F80</f>
        <v>159.05729178777068</v>
      </c>
      <c r="C26" s="79">
        <f>Inputs!$B$6</f>
        <v>162.43</v>
      </c>
    </row>
    <row r="28" spans="1:5" x14ac:dyDescent="0.25">
      <c r="A28" s="4" t="s">
        <v>364</v>
      </c>
      <c r="B28" s="5"/>
      <c r="C28" s="5"/>
      <c r="D28" s="5"/>
      <c r="E28" s="5"/>
    </row>
    <row r="29" spans="1:5" x14ac:dyDescent="0.25">
      <c r="A29" s="8" t="s">
        <v>365</v>
      </c>
      <c r="B29" s="24">
        <v>9.5200000000000007E-2</v>
      </c>
    </row>
    <row r="30" spans="1:5" ht="25.5" x14ac:dyDescent="0.25">
      <c r="A30" s="17" t="s">
        <v>175</v>
      </c>
      <c r="B30" s="18" t="s">
        <v>366</v>
      </c>
      <c r="C30" s="18" t="s">
        <v>367</v>
      </c>
      <c r="D30" s="18" t="s">
        <v>368</v>
      </c>
    </row>
    <row r="31" spans="1:5" x14ac:dyDescent="0.25">
      <c r="A31" s="8" t="s">
        <v>369</v>
      </c>
      <c r="B31" s="40">
        <f>Historicals!C34</f>
        <v>0.18073580188117644</v>
      </c>
    </row>
    <row r="32" spans="1:5" x14ac:dyDescent="0.25">
      <c r="A32" s="8" t="s">
        <v>370</v>
      </c>
      <c r="B32" s="40">
        <f>Historicals!D34</f>
        <v>0.11949178178884745</v>
      </c>
    </row>
    <row r="33" spans="1:4" x14ac:dyDescent="0.25">
      <c r="A33" s="8" t="s">
        <v>371</v>
      </c>
      <c r="B33" s="40">
        <f>Historicals!E34</f>
        <v>0.10259412718429117</v>
      </c>
    </row>
    <row r="34" spans="1:4" x14ac:dyDescent="0.25">
      <c r="A34" s="8" t="s">
        <v>104</v>
      </c>
      <c r="B34" s="40">
        <f>Historicals!G34</f>
        <v>0.17101341281669158</v>
      </c>
    </row>
    <row r="35" spans="1:4" x14ac:dyDescent="0.25">
      <c r="A35" s="8" t="s">
        <v>203</v>
      </c>
      <c r="C35" s="40">
        <f>DCF!D6</f>
        <v>0.155</v>
      </c>
      <c r="D35" s="36">
        <f>C35+$B$29</f>
        <v>0.25019999999999998</v>
      </c>
    </row>
    <row r="36" spans="1:4" x14ac:dyDescent="0.25">
      <c r="A36" s="8" t="s">
        <v>204</v>
      </c>
      <c r="C36" s="40">
        <f>DCF!E6</f>
        <v>0.12</v>
      </c>
      <c r="D36" s="36">
        <f>C36+$B$29</f>
        <v>0.2152</v>
      </c>
    </row>
    <row r="37" spans="1:4" x14ac:dyDescent="0.25">
      <c r="A37" s="8" t="s">
        <v>205</v>
      </c>
      <c r="C37" s="40">
        <f>DCF!F6</f>
        <v>0.11</v>
      </c>
      <c r="D37" s="36">
        <f>C37+$B$29</f>
        <v>0.20519999999999999</v>
      </c>
    </row>
    <row r="38" spans="1:4" x14ac:dyDescent="0.25">
      <c r="A38" s="8" t="s">
        <v>206</v>
      </c>
      <c r="C38" s="40">
        <f>DCF!G6</f>
        <v>0.1</v>
      </c>
      <c r="D38" s="36">
        <f>C38+$B$29</f>
        <v>0.19520000000000001</v>
      </c>
    </row>
    <row r="39" spans="1:4" x14ac:dyDescent="0.25">
      <c r="A39" s="8" t="s">
        <v>207</v>
      </c>
      <c r="C39" s="40">
        <f>DCF!H6</f>
        <v>0.09</v>
      </c>
      <c r="D39" s="36">
        <f>C39+$B$29</f>
        <v>0.1852</v>
      </c>
    </row>
    <row r="41" spans="1:4" x14ac:dyDescent="0.25">
      <c r="A41" s="3" t="s">
        <v>372</v>
      </c>
    </row>
    <row r="42" spans="1:4" x14ac:dyDescent="0.25">
      <c r="A42" s="3" t="s">
        <v>373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C23"/>
  <sheetViews>
    <sheetView showGridLines="0" workbookViewId="0"/>
  </sheetViews>
  <sheetFormatPr defaultRowHeight="15" x14ac:dyDescent="0.25"/>
  <cols>
    <col min="1" max="1" width="3" customWidth="1"/>
    <col min="2" max="2" width="60" customWidth="1"/>
    <col min="3" max="3" width="100" customWidth="1"/>
  </cols>
  <sheetData>
    <row r="1" spans="2:3" ht="20.25" x14ac:dyDescent="0.3">
      <c r="B1" s="1" t="s">
        <v>31</v>
      </c>
    </row>
    <row r="3" spans="2:3" x14ac:dyDescent="0.25">
      <c r="B3" s="17" t="s">
        <v>374</v>
      </c>
      <c r="C3" s="18" t="s">
        <v>375</v>
      </c>
    </row>
    <row r="4" spans="2:3" x14ac:dyDescent="0.25">
      <c r="B4" s="8" t="s">
        <v>376</v>
      </c>
      <c r="C4" s="83" t="s">
        <v>377</v>
      </c>
    </row>
    <row r="5" spans="2:3" x14ac:dyDescent="0.25">
      <c r="B5" s="8" t="s">
        <v>378</v>
      </c>
      <c r="C5" s="83" t="s">
        <v>379</v>
      </c>
    </row>
    <row r="6" spans="2:3" x14ac:dyDescent="0.25">
      <c r="B6" s="8" t="s">
        <v>380</v>
      </c>
      <c r="C6" s="83" t="s">
        <v>381</v>
      </c>
    </row>
    <row r="7" spans="2:3" x14ac:dyDescent="0.25">
      <c r="B7" s="8" t="s">
        <v>382</v>
      </c>
      <c r="C7" s="83" t="s">
        <v>383</v>
      </c>
    </row>
    <row r="8" spans="2:3" x14ac:dyDescent="0.25">
      <c r="B8" s="8" t="s">
        <v>384</v>
      </c>
      <c r="C8" s="83" t="s">
        <v>385</v>
      </c>
    </row>
    <row r="9" spans="2:3" x14ac:dyDescent="0.25">
      <c r="B9" s="8" t="s">
        <v>386</v>
      </c>
      <c r="C9" s="83" t="s">
        <v>387</v>
      </c>
    </row>
    <row r="10" spans="2:3" x14ac:dyDescent="0.25">
      <c r="B10" s="8" t="s">
        <v>388</v>
      </c>
      <c r="C10" s="83" t="s">
        <v>389</v>
      </c>
    </row>
    <row r="11" spans="2:3" x14ac:dyDescent="0.25">
      <c r="B11" s="8" t="s">
        <v>390</v>
      </c>
      <c r="C11" s="83" t="s">
        <v>391</v>
      </c>
    </row>
    <row r="12" spans="2:3" x14ac:dyDescent="0.25">
      <c r="B12" s="8" t="s">
        <v>392</v>
      </c>
      <c r="C12" s="83" t="s">
        <v>393</v>
      </c>
    </row>
    <row r="13" spans="2:3" x14ac:dyDescent="0.25">
      <c r="B13" s="8" t="s">
        <v>394</v>
      </c>
      <c r="C13" s="83" t="s">
        <v>395</v>
      </c>
    </row>
    <row r="14" spans="2:3" x14ac:dyDescent="0.25">
      <c r="B14" s="8" t="s">
        <v>396</v>
      </c>
      <c r="C14" s="83" t="s">
        <v>397</v>
      </c>
    </row>
    <row r="15" spans="2:3" x14ac:dyDescent="0.25">
      <c r="B15" s="8" t="s">
        <v>398</v>
      </c>
      <c r="C15" s="83" t="s">
        <v>399</v>
      </c>
    </row>
    <row r="16" spans="2:3" x14ac:dyDescent="0.25">
      <c r="B16" s="8" t="s">
        <v>400</v>
      </c>
      <c r="C16" s="83" t="s">
        <v>401</v>
      </c>
    </row>
    <row r="17" spans="2:3" x14ac:dyDescent="0.25">
      <c r="B17" s="8" t="s">
        <v>402</v>
      </c>
      <c r="C17" s="83" t="s">
        <v>403</v>
      </c>
    </row>
    <row r="18" spans="2:3" x14ac:dyDescent="0.25">
      <c r="B18" s="8" t="s">
        <v>404</v>
      </c>
      <c r="C18" s="83" t="s">
        <v>405</v>
      </c>
    </row>
    <row r="19" spans="2:3" x14ac:dyDescent="0.25">
      <c r="B19" s="8" t="s">
        <v>406</v>
      </c>
      <c r="C19" s="83" t="s">
        <v>407</v>
      </c>
    </row>
    <row r="20" spans="2:3" x14ac:dyDescent="0.25">
      <c r="B20" s="8" t="s">
        <v>408</v>
      </c>
      <c r="C20" s="83" t="s">
        <v>409</v>
      </c>
    </row>
    <row r="21" spans="2:3" x14ac:dyDescent="0.25">
      <c r="B21" s="8" t="s">
        <v>410</v>
      </c>
      <c r="C21" s="83" t="s">
        <v>411</v>
      </c>
    </row>
    <row r="22" spans="2:3" x14ac:dyDescent="0.25">
      <c r="B22" s="8" t="s">
        <v>412</v>
      </c>
      <c r="C22" s="83" t="s">
        <v>413</v>
      </c>
    </row>
    <row r="23" spans="2:3" x14ac:dyDescent="0.25">
      <c r="B23" s="8" t="s">
        <v>414</v>
      </c>
      <c r="C23" s="83" t="s">
        <v>415</v>
      </c>
    </row>
  </sheetData>
  <hyperlinks>
    <hyperlink ref="C4" r:id="rId1" xr:uid="{00000000-0004-0000-0800-000000000000}"/>
    <hyperlink ref="C5" r:id="rId2" xr:uid="{00000000-0004-0000-0800-000001000000}"/>
    <hyperlink ref="C6" r:id="rId3" xr:uid="{00000000-0004-0000-0800-000002000000}"/>
    <hyperlink ref="C7" r:id="rId4" xr:uid="{00000000-0004-0000-0800-000003000000}"/>
    <hyperlink ref="C8" r:id="rId5" xr:uid="{00000000-0004-0000-0800-000004000000}"/>
    <hyperlink ref="C9" r:id="rId6" xr:uid="{00000000-0004-0000-0800-000005000000}"/>
    <hyperlink ref="C10" r:id="rId7" xr:uid="{00000000-0004-0000-0800-000006000000}"/>
    <hyperlink ref="C11" r:id="rId8" xr:uid="{00000000-0004-0000-0800-000007000000}"/>
    <hyperlink ref="C12" r:id="rId9" xr:uid="{00000000-0004-0000-0800-000008000000}"/>
    <hyperlink ref="C13" r:id="rId10" xr:uid="{00000000-0004-0000-0800-000009000000}"/>
    <hyperlink ref="C14" r:id="rId11" xr:uid="{00000000-0004-0000-0800-00000A000000}"/>
    <hyperlink ref="C15" r:id="rId12" xr:uid="{00000000-0004-0000-0800-00000B000000}"/>
    <hyperlink ref="C16" r:id="rId13" xr:uid="{00000000-0004-0000-0800-00000C000000}"/>
    <hyperlink ref="C17" r:id="rId14" xr:uid="{00000000-0004-0000-0800-00000D000000}"/>
    <hyperlink ref="C18" r:id="rId15" xr:uid="{00000000-0004-0000-0800-00000E000000}"/>
    <hyperlink ref="C19" r:id="rId16" xr:uid="{00000000-0004-0000-0800-00000F000000}"/>
    <hyperlink ref="C20" r:id="rId17" xr:uid="{00000000-0004-0000-0800-000010000000}"/>
    <hyperlink ref="C21" r:id="rId18" xr:uid="{00000000-0004-0000-0800-000011000000}"/>
    <hyperlink ref="C22" r:id="rId19" xr:uid="{00000000-0004-0000-0800-000012000000}"/>
    <hyperlink ref="C23" r:id="rId20" xr:uid="{00000000-0004-0000-0800-00001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Inputs</vt:lpstr>
      <vt:lpstr>Historicals</vt:lpstr>
      <vt:lpstr>WACC</vt:lpstr>
      <vt:lpstr>DCF</vt:lpstr>
      <vt:lpstr>Comps</vt:lpstr>
      <vt:lpstr>Football Field</vt:lpstr>
      <vt:lpstr>Charts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Tereshchenko</cp:lastModifiedBy>
  <dcterms:created xsi:type="dcterms:W3CDTF">2026-10-12T12:43:59Z</dcterms:created>
  <dcterms:modified xsi:type="dcterms:W3CDTF">2026-10-14T11:47:28Z</dcterms:modified>
</cp:coreProperties>
</file>